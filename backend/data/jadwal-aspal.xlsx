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dwal Hotmix" sheetId="1" r:id="rId5"/>
  </sheets>
  <definedNames>
    <definedName hidden="1" localSheetId="0" name="_xlnm._FilterDatabase">'Jadwal Hotmix'!$A$4:$M$200</definedName>
  </definedNames>
  <calcPr/>
</workbook>
</file>

<file path=xl/sharedStrings.xml><?xml version="1.0" encoding="utf-8"?>
<sst xmlns="http://schemas.openxmlformats.org/spreadsheetml/2006/main" count="11" uniqueCount="11">
  <si>
    <t>No.</t>
  </si>
  <si>
    <t>PAKET PEKERJAAN</t>
  </si>
  <si>
    <t>WAKTU GELARAN</t>
  </si>
  <si>
    <t>STA</t>
  </si>
  <si>
    <r>
      <rPr>
        <rFont val="Arial"/>
        <b/>
        <color theme="1"/>
        <sz val="12.0"/>
      </rPr>
      <t xml:space="preserve">PANJANG
</t>
    </r>
    <r>
      <rPr>
        <rFont val="Arial"/>
        <b val="0"/>
        <color theme="1"/>
        <sz val="12.0"/>
      </rPr>
      <t>(m)</t>
    </r>
  </si>
  <si>
    <t>LEBAR</t>
  </si>
  <si>
    <t>LOKASI / RUTE</t>
  </si>
  <si>
    <t>KONTAK PERSON</t>
  </si>
  <si>
    <t>Hari Mulai s/d Hari Berakhir</t>
  </si>
  <si>
    <t>Hari Ke-</t>
  </si>
  <si>
    <t>Jam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</si>
</sst>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DD, DD/MM/YYYY"/>
    <numFmt numFmtId="165" formatCode="0.0"/>
  </numFmts>
  <fonts count="14">
    <font>
      <sz val="10.0"/>
      <color rgb="FF000000"/>
      <name val="Arial"/>
      <scheme val="minor"/>
    </font>
    <font>
      <sz val="12.0"/>
      <color theme="1"/>
      <name val="Arial"/>
    </font>
    <font>
      <b/>
      <sz val="12.0"/>
      <color theme="1"/>
      <name val="Arial"/>
    </font>
    <font/>
    <font>
      <sz val="11.0"/>
      <color theme="1"/>
      <name val="Arial"/>
    </font>
    <font>
      <sz val="11.0"/>
      <color theme="1"/>
      <name val="Arial"/>
      <scheme val="minor"/>
    </font>
    <font>
      <u/>
      <sz val="11.0"/>
      <color rgb="FF0000FF"/>
    </font>
    <font>
      <u/>
      <sz val="11.0"/>
      <color rgb="FF0000FF"/>
      <name val="Arial"/>
    </font>
    <font>
      <sz val="11.0"/>
      <color rgb="FF000000"/>
      <name val="Arial"/>
      <scheme val="minor"/>
    </font>
    <font>
      <u/>
      <sz val="11.0"/>
      <color rgb="FF0000FF"/>
    </font>
    <font>
      <u/>
      <sz val="11.0"/>
      <color rgb="FF0000FF"/>
    </font>
    <font>
      <u/>
      <sz val="11.0"/>
      <color rgb="FF0000FF"/>
    </font>
    <font>
      <u/>
      <sz val="11.0"/>
      <color rgb="FF0000FF"/>
      <name val="Arial"/>
    </font>
    <font>
      <u/>
      <sz val="11.0"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00FFFF"/>
        <bgColor rgb="FF00FFFF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top"/>
    </xf>
    <xf borderId="1" fillId="2" fontId="2" numFmtId="0" xfId="0" applyAlignment="1" applyBorder="1" applyFill="1" applyFont="1">
      <alignment horizontal="center" vertical="center"/>
    </xf>
    <xf borderId="2" fillId="2" fontId="2" numFmtId="0" xfId="0" applyAlignment="1" applyBorder="1" applyFill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1" fillId="2" fontId="2" numFmtId="0" xfId="0" applyAlignment="1" applyBorder="1" applyFill="1" applyFont="1">
      <alignment horizontal="center" readingOrder="0" vertical="center"/>
    </xf>
    <xf borderId="1" fillId="2" fontId="2" numFmtId="0" xfId="0" applyAlignment="1" applyBorder="1" applyFill="1" applyFont="1">
      <alignment horizontal="center" vertical="center"/>
    </xf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4" numFmtId="0" xfId="0" applyAlignment="1" applyBorder="1" applyFont="1">
      <alignment vertical="top"/>
    </xf>
    <xf borderId="9" fillId="0" fontId="4" numFmtId="0" xfId="0" applyAlignment="1" applyBorder="1" applyFont="1">
      <alignment readingOrder="0" vertical="top"/>
    </xf>
    <xf borderId="9" fillId="0" fontId="4" numFmtId="0" xfId="0" applyAlignment="1" applyBorder="1" applyFont="1">
      <alignment horizontal="center" readingOrder="0" vertical="top"/>
    </xf>
    <xf borderId="0" fillId="0" fontId="4" numFmtId="0" xfId="0" applyAlignment="1" applyFont="1">
      <alignment vertical="top"/>
    </xf>
    <xf borderId="9" fillId="0" fontId="5" numFmtId="0" xfId="0" applyBorder="1" applyFont="1"/>
    <xf borderId="9" fillId="0" fontId="5" numFmtId="164" xfId="0" applyAlignment="1" applyBorder="1" applyFont="1" applyNumberFormat="1">
      <alignment vertical="top"/>
    </xf>
    <xf borderId="9" fillId="0" fontId="5" numFmtId="0" xfId="0" applyAlignment="1" applyBorder="1" applyFont="1">
      <alignment readingOrder="0" vertical="top"/>
    </xf>
    <xf borderId="9" fillId="0" fontId="5" numFmtId="0" xfId="0" applyAlignment="1" applyBorder="1" applyFont="1">
      <alignment vertical="top"/>
    </xf>
    <xf borderId="9" fillId="0" fontId="5" numFmtId="0" xfId="0" applyAlignment="1" applyBorder="1" applyFont="1">
      <alignment horizontal="center" vertical="top"/>
    </xf>
    <xf borderId="0" fillId="0" fontId="5" numFmtId="0" xfId="0" applyAlignment="1" applyFont="1">
      <alignment vertical="top"/>
    </xf>
    <xf borderId="9" fillId="0" fontId="5" numFmtId="165" xfId="0" applyAlignment="1" applyBorder="1" applyFont="1" applyNumberFormat="1">
      <alignment vertical="top"/>
    </xf>
    <xf borderId="9" fillId="0" fontId="5" numFmtId="49" xfId="0" applyAlignment="1" applyBorder="1" applyFont="1" applyNumberFormat="1">
      <alignment vertical="top"/>
    </xf>
    <xf borderId="9" fillId="0" fontId="5" numFmtId="49" xfId="0" applyAlignment="1" applyBorder="1" applyFont="1" applyNumberFormat="1">
      <alignment horizontal="center" vertical="top"/>
    </xf>
    <xf borderId="9" fillId="0" fontId="6" numFmtId="0" xfId="0" applyAlignment="1" applyBorder="1" applyFont="1">
      <alignment vertical="top"/>
    </xf>
    <xf borderId="9" fillId="0" fontId="4" numFmtId="164" xfId="0" applyAlignment="1" applyBorder="1" applyFont="1" applyNumberFormat="1">
      <alignment vertical="top"/>
    </xf>
    <xf borderId="9" fillId="0" fontId="4" numFmtId="49" xfId="0" applyAlignment="1" applyBorder="1" applyFont="1" applyNumberFormat="1">
      <alignment vertical="top"/>
    </xf>
    <xf borderId="9" fillId="0" fontId="4" numFmtId="0" xfId="0" applyAlignment="1" applyBorder="1" applyFont="1">
      <alignment horizontal="center" vertical="top"/>
    </xf>
    <xf borderId="9" fillId="0" fontId="4" numFmtId="49" xfId="0" applyAlignment="1" applyBorder="1" applyFont="1" applyNumberFormat="1">
      <alignment horizontal="center" vertical="top"/>
    </xf>
    <xf borderId="9" fillId="0" fontId="7" numFmtId="0" xfId="0" applyAlignment="1" applyBorder="1" applyFont="1">
      <alignment vertical="top"/>
    </xf>
    <xf borderId="9" fillId="0" fontId="8" numFmtId="0" xfId="0" applyAlignment="1" applyBorder="1" applyFont="1">
      <alignment vertical="top"/>
    </xf>
    <xf borderId="1" fillId="0" fontId="5" numFmtId="0" xfId="0" applyAlignment="1" applyBorder="1" applyFont="1">
      <alignment vertical="top"/>
    </xf>
    <xf borderId="1" fillId="0" fontId="5" numFmtId="49" xfId="0" applyAlignment="1" applyBorder="1" applyFont="1" applyNumberFormat="1">
      <alignment vertical="top"/>
    </xf>
    <xf borderId="1" fillId="0" fontId="5" numFmtId="0" xfId="0" applyAlignment="1" applyBorder="1" applyFont="1">
      <alignment horizontal="center" vertical="top"/>
    </xf>
    <xf borderId="1" fillId="0" fontId="5" numFmtId="49" xfId="0" applyAlignment="1" applyBorder="1" applyFont="1" applyNumberFormat="1">
      <alignment horizontal="center" vertical="top"/>
    </xf>
    <xf borderId="1" fillId="0" fontId="9" numFmtId="0" xfId="0" applyAlignment="1" applyBorder="1" applyFont="1">
      <alignment vertical="top"/>
    </xf>
    <xf borderId="1" fillId="0" fontId="5" numFmtId="0" xfId="0" applyAlignment="1" applyBorder="1" applyFont="1">
      <alignment readingOrder="0" vertical="top"/>
    </xf>
    <xf borderId="10" fillId="0" fontId="5" numFmtId="0" xfId="0" applyAlignment="1" applyBorder="1" applyFont="1">
      <alignment horizontal="center" vertical="top"/>
    </xf>
    <xf borderId="10" fillId="0" fontId="5" numFmtId="0" xfId="0" applyAlignment="1" applyBorder="1" applyFont="1">
      <alignment vertical="top"/>
    </xf>
    <xf borderId="10" fillId="0" fontId="5" numFmtId="49" xfId="0" applyAlignment="1" applyBorder="1" applyFont="1" applyNumberFormat="1">
      <alignment vertical="top"/>
    </xf>
    <xf borderId="5" fillId="0" fontId="5" numFmtId="0" xfId="0" applyAlignment="1" applyBorder="1" applyFont="1">
      <alignment horizontal="center" vertical="top"/>
    </xf>
    <xf borderId="5" fillId="0" fontId="5" numFmtId="0" xfId="0" applyAlignment="1" applyBorder="1" applyFont="1">
      <alignment vertical="top"/>
    </xf>
    <xf borderId="5" fillId="0" fontId="5" numFmtId="49" xfId="0" applyAlignment="1" applyBorder="1" applyFont="1" applyNumberFormat="1">
      <alignment vertical="top"/>
    </xf>
    <xf borderId="5" fillId="0" fontId="10" numFmtId="0" xfId="0" applyAlignment="1" applyBorder="1" applyFont="1">
      <alignment vertical="top"/>
    </xf>
    <xf borderId="10" fillId="0" fontId="5" numFmtId="0" xfId="0" applyAlignment="1" applyBorder="1" applyFont="1">
      <alignment horizontal="center" readingOrder="0" vertical="top"/>
    </xf>
    <xf borderId="10" fillId="0" fontId="11" numFmtId="0" xfId="0" applyAlignment="1" applyBorder="1" applyFont="1">
      <alignment vertical="top"/>
    </xf>
    <xf borderId="0" fillId="0" fontId="5" numFmtId="0" xfId="0" applyAlignment="1" applyFont="1">
      <alignment readingOrder="0" vertical="top"/>
    </xf>
    <xf borderId="10" fillId="0" fontId="5" numFmtId="0" xfId="0" applyAlignment="1" applyBorder="1" applyFont="1">
      <alignment readingOrder="0" vertical="top"/>
    </xf>
    <xf borderId="10" fillId="3" fontId="5" numFmtId="0" xfId="0" applyAlignment="1" applyBorder="1" applyFill="1" applyFont="1">
      <alignment horizontal="center" vertical="top"/>
    </xf>
    <xf borderId="10" fillId="3" fontId="4" numFmtId="0" xfId="0" applyAlignment="1" applyBorder="1" applyFill="1" applyFont="1">
      <alignment vertical="top"/>
    </xf>
    <xf borderId="10" fillId="0" fontId="4" numFmtId="0" xfId="0" applyAlignment="1" applyBorder="1" applyFont="1">
      <alignment vertical="top"/>
    </xf>
    <xf borderId="10" fillId="0" fontId="4" numFmtId="0" xfId="0" applyAlignment="1" applyBorder="1" applyFont="1">
      <alignment horizontal="center" vertical="top"/>
    </xf>
    <xf borderId="1" fillId="0" fontId="4" numFmtId="0" xfId="0" applyAlignment="1" applyBorder="1" applyFont="1">
      <alignment vertical="top"/>
    </xf>
    <xf borderId="1" fillId="0" fontId="4" numFmtId="49" xfId="0" applyAlignment="1" applyBorder="1" applyFont="1" applyNumberFormat="1">
      <alignment vertical="top"/>
    </xf>
    <xf borderId="1" fillId="0" fontId="4" numFmtId="0" xfId="0" applyAlignment="1" applyBorder="1" applyFont="1">
      <alignment horizontal="center" vertical="top"/>
    </xf>
    <xf borderId="1" fillId="0" fontId="12" numFmtId="0" xfId="0" applyAlignment="1" applyBorder="1" applyFont="1">
      <alignment vertical="top"/>
    </xf>
    <xf borderId="10" fillId="0" fontId="4" numFmtId="49" xfId="0" applyAlignment="1" applyBorder="1" applyFont="1" applyNumberFormat="1">
      <alignment vertical="top"/>
    </xf>
    <xf borderId="5" fillId="0" fontId="4" numFmtId="0" xfId="0" applyAlignment="1" applyBorder="1" applyFont="1">
      <alignment horizontal="center" vertical="top"/>
    </xf>
    <xf borderId="5" fillId="0" fontId="4" numFmtId="0" xfId="0" applyAlignment="1" applyBorder="1" applyFont="1">
      <alignment vertical="top"/>
    </xf>
    <xf borderId="5" fillId="0" fontId="4" numFmtId="49" xfId="0" applyAlignment="1" applyBorder="1" applyFont="1" applyNumberFormat="1">
      <alignment vertical="top"/>
    </xf>
    <xf borderId="0" fillId="0" fontId="4" numFmtId="0" xfId="0" applyAlignment="1" applyFont="1">
      <alignment horizontal="center" vertical="top"/>
    </xf>
    <xf borderId="1" fillId="3" fontId="4" numFmtId="49" xfId="0" applyAlignment="1" applyBorder="1" applyFill="1" applyFont="1" applyNumberFormat="1">
      <alignment vertical="top"/>
    </xf>
    <xf borderId="5" fillId="3" fontId="4" numFmtId="49" xfId="0" applyAlignment="1" applyBorder="1" applyFill="1" applyFont="1" applyNumberFormat="1">
      <alignment vertical="top"/>
    </xf>
    <xf borderId="9" fillId="3" fontId="4" numFmtId="0" xfId="0" applyAlignment="1" applyBorder="1" applyFill="1" applyFont="1">
      <alignment vertical="top"/>
    </xf>
    <xf borderId="9" fillId="3" fontId="4" numFmtId="49" xfId="0" applyAlignment="1" applyBorder="1" applyFill="1" applyFont="1" applyNumberFormat="1">
      <alignment vertical="top"/>
    </xf>
    <xf borderId="0" fillId="0" fontId="13" numFmtId="0" xfId="0" applyAlignment="1" applyFont="1">
      <alignment vertical="top"/>
    </xf>
    <xf borderId="0" fillId="0" fontId="1" numFmtId="0" xfId="0" applyAlignment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maps.app.goo.gl/EhbLb4dVdMHjGamk7" TargetMode="External"/><Relationship Id="rId22" Type="http://schemas.openxmlformats.org/officeDocument/2006/relationships/hyperlink" Target="https://maps.app.goo.gl/u4P5C6DETgS5GBoN7" TargetMode="External"/><Relationship Id="rId21" Type="http://schemas.openxmlformats.org/officeDocument/2006/relationships/hyperlink" Target="https://maps.app.goo.gl/mKGoE2QSucSFA7Ks5" TargetMode="External"/><Relationship Id="rId24" Type="http://schemas.openxmlformats.org/officeDocument/2006/relationships/hyperlink" Target="https://maps.app.goo.gl/o6UZTnUUJtEsJVxf8" TargetMode="External"/><Relationship Id="rId23" Type="http://schemas.openxmlformats.org/officeDocument/2006/relationships/hyperlink" Target="https://maps.app.goo.gl/e5cXgAi8eLYYmAMB6" TargetMode="External"/><Relationship Id="rId1" Type="http://schemas.openxmlformats.org/officeDocument/2006/relationships/hyperlink" Target="https://maps.app.goo.gl/2zPiEnsM4gnRR2d8A" TargetMode="External"/><Relationship Id="rId2" Type="http://schemas.openxmlformats.org/officeDocument/2006/relationships/hyperlink" Target="https://maps.app.goo.gl/df2Xfczk5vjvCzVA8" TargetMode="External"/><Relationship Id="rId3" Type="http://schemas.openxmlformats.org/officeDocument/2006/relationships/hyperlink" Target="https://maps.app.goo.gl/odbN3FHtzEdDRcUe8?g_st=aw" TargetMode="External"/><Relationship Id="rId4" Type="http://schemas.openxmlformats.org/officeDocument/2006/relationships/hyperlink" Target="https://maps.app.goo.gl/odbN3FHtzEdDRcUe8?g_st=aw" TargetMode="External"/><Relationship Id="rId9" Type="http://schemas.openxmlformats.org/officeDocument/2006/relationships/hyperlink" Target="https://maps.app.goo.gl/a9nj9PxcwamBovag9" TargetMode="External"/><Relationship Id="rId26" Type="http://schemas.openxmlformats.org/officeDocument/2006/relationships/hyperlink" Target="https://maps.app.goo.gl/zYysKr53umgahdai9" TargetMode="External"/><Relationship Id="rId25" Type="http://schemas.openxmlformats.org/officeDocument/2006/relationships/hyperlink" Target="https://maps.app.goo.gl/Zw3jXbCC2oNvRBY98" TargetMode="External"/><Relationship Id="rId28" Type="http://schemas.openxmlformats.org/officeDocument/2006/relationships/hyperlink" Target="https://maps.app.goo.gl/b4Bc6q5YM5FkgEGM6" TargetMode="External"/><Relationship Id="rId27" Type="http://schemas.openxmlformats.org/officeDocument/2006/relationships/hyperlink" Target="https://maps.app.goo.gl/e6ujbjqfKRdDfwvH9" TargetMode="External"/><Relationship Id="rId5" Type="http://schemas.openxmlformats.org/officeDocument/2006/relationships/hyperlink" Target="https://maps.app.goo.gl/odbN3FHtzEdDRcUe8?g_st=aw" TargetMode="External"/><Relationship Id="rId6" Type="http://schemas.openxmlformats.org/officeDocument/2006/relationships/hyperlink" Target="https://maps.app.goo.gl/7aKyCWUAYzii1ZE6A" TargetMode="External"/><Relationship Id="rId29" Type="http://schemas.openxmlformats.org/officeDocument/2006/relationships/hyperlink" Target="https://maps.app.goo.gl/ufzVXswzWRvDS9mT7" TargetMode="External"/><Relationship Id="rId7" Type="http://schemas.openxmlformats.org/officeDocument/2006/relationships/hyperlink" Target="https://maps.app.goo.gl/7aKyCWUAYzii1ZE6A" TargetMode="External"/><Relationship Id="rId8" Type="http://schemas.openxmlformats.org/officeDocument/2006/relationships/hyperlink" Target="https://maps.app.goo.gl/2FGyZNt6mgjy3HCh9" TargetMode="External"/><Relationship Id="rId31" Type="http://schemas.openxmlformats.org/officeDocument/2006/relationships/hyperlink" Target="https://maps.app.goo.gl/n9TBYZkoyBh7ZZnZA" TargetMode="External"/><Relationship Id="rId30" Type="http://schemas.openxmlformats.org/officeDocument/2006/relationships/hyperlink" Target="https://maps.app.goo.gl/dNjJNjt3JAa9pVUU6" TargetMode="External"/><Relationship Id="rId11" Type="http://schemas.openxmlformats.org/officeDocument/2006/relationships/hyperlink" Target="https://maps.app.goo.gl/zF8Q4zEpi164Jfv69" TargetMode="External"/><Relationship Id="rId33" Type="http://schemas.openxmlformats.org/officeDocument/2006/relationships/drawing" Target="../drawings/drawing1.xml"/><Relationship Id="rId10" Type="http://schemas.openxmlformats.org/officeDocument/2006/relationships/hyperlink" Target="https://maps.app.goo.gl/DVYdpPFLp1SeKU337" TargetMode="External"/><Relationship Id="rId32" Type="http://schemas.openxmlformats.org/officeDocument/2006/relationships/hyperlink" Target="https://docs.google.com/spreadsheets/d/1YvRj1nmyiR_w9asJZv5l94O9wgQbIqx1I0d_bJjr_mM/edit?gid=0" TargetMode="External"/><Relationship Id="rId13" Type="http://schemas.openxmlformats.org/officeDocument/2006/relationships/hyperlink" Target="https://maps.app.goo.gl/PjPgix6njsyVgidH6" TargetMode="External"/><Relationship Id="rId12" Type="http://schemas.openxmlformats.org/officeDocument/2006/relationships/hyperlink" Target="https://maps.app.goo.gl/RwDdPUkizaHByK1h9" TargetMode="External"/><Relationship Id="rId15" Type="http://schemas.openxmlformats.org/officeDocument/2006/relationships/hyperlink" Target="https://maps.app.goo.gl/SVWsDBqzsznUAy616" TargetMode="External"/><Relationship Id="rId14" Type="http://schemas.openxmlformats.org/officeDocument/2006/relationships/hyperlink" Target="https://maps.app.goo.gl/2ceEQunZCBBRTCdM8" TargetMode="External"/><Relationship Id="rId17" Type="http://schemas.openxmlformats.org/officeDocument/2006/relationships/hyperlink" Target="https://maps.app.goo.gl/Ynjsfdb9gcLNcwHd9" TargetMode="External"/><Relationship Id="rId16" Type="http://schemas.openxmlformats.org/officeDocument/2006/relationships/hyperlink" Target="https://maps.app.goo.gl/GLQVZYTJ9S4uHwfp9" TargetMode="External"/><Relationship Id="rId19" Type="http://schemas.openxmlformats.org/officeDocument/2006/relationships/hyperlink" Target="https://maps.app.goo.gl/dvx3ebZzBRiFvG4z9" TargetMode="External"/><Relationship Id="rId18" Type="http://schemas.openxmlformats.org/officeDocument/2006/relationships/hyperlink" Target="https://maps.app.goo.gl/DTcwQ66ygenFWJRf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4.25"/>
    <col customWidth="1" min="2" max="2" width="60.5"/>
    <col customWidth="1" hidden="1" min="3" max="4" width="20.88"/>
    <col customWidth="1" min="5" max="5" width="9.38"/>
    <col customWidth="1" min="6" max="6" width="39.0"/>
    <col customWidth="1" min="7" max="7" width="9.5"/>
    <col customWidth="1" min="8" max="8" width="15.13"/>
    <col customWidth="1" min="9" max="9" width="20.0"/>
    <col customWidth="1" min="10" max="10" width="11.13"/>
    <col customWidth="1" hidden="1" min="11" max="11" width="9.13"/>
    <col customWidth="1" min="12" max="12" width="53.0"/>
    <col customWidth="1" min="13" max="13" width="23.75"/>
  </cols>
  <sheetData>
    <row r="1">
      <c r="A1" s="1"/>
      <c r="B1" s="2"/>
      <c r="C1" s="3"/>
      <c r="D1" s="3"/>
      <c r="E1" s="3"/>
      <c r="F1" s="3"/>
      <c r="G1" s="3"/>
      <c r="H1" s="3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0</v>
      </c>
      <c r="B2" s="5" t="s">
        <v>1</v>
      </c>
      <c r="C2" s="6" t="s">
        <v>2</v>
      </c>
      <c r="D2" s="7"/>
      <c r="E2" s="7"/>
      <c r="F2" s="7"/>
      <c r="G2" s="7"/>
      <c r="H2" s="8"/>
      <c r="I2" s="5" t="s">
        <v>3</v>
      </c>
      <c r="J2" s="9" t="s">
        <v>4</v>
      </c>
      <c r="K2" s="5" t="s">
        <v>5</v>
      </c>
      <c r="L2" s="9" t="s">
        <v>6</v>
      </c>
      <c r="M2" s="10" t="s">
        <v>7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1"/>
      <c r="B3" s="11"/>
      <c r="C3" s="12"/>
      <c r="D3" s="13"/>
      <c r="E3" s="13"/>
      <c r="F3" s="13"/>
      <c r="G3" s="13"/>
      <c r="H3" s="14"/>
      <c r="I3" s="11"/>
      <c r="J3" s="11"/>
      <c r="K3" s="11"/>
      <c r="L3" s="11"/>
      <c r="M3" s="11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5"/>
      <c r="B4" s="15"/>
      <c r="C4" s="15"/>
      <c r="D4" s="15"/>
      <c r="E4" s="16"/>
      <c r="F4" s="17" t="s">
        <v>8</v>
      </c>
      <c r="G4" s="17" t="s">
        <v>9</v>
      </c>
      <c r="H4" s="17" t="s">
        <v>10</v>
      </c>
      <c r="I4" s="15"/>
      <c r="J4" s="15"/>
      <c r="K4" s="15"/>
      <c r="L4" s="15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idden="1">
      <c r="A5" s="19">
        <f>IFERROR(__xludf.DUMMYFUNCTION("IMPORTRANGE(""1TuBRbNIGLh0OWPrygkI_oH0PS7DmquSNU1iElu-XBaQ/edit?gid=0#gid=0"",""SHEET1!A6:M200"")"),1.0)</f>
        <v>1</v>
      </c>
      <c r="B5" s="20" t="str">
        <f>IFERROR(__xludf.DUMMYFUNCTION("""COMPUTED_VALUE"""),"Pemeliharaan Berkala Ruas Jalan Parakancanggah - Kenteng")</f>
        <v>Pemeliharaan Berkala Ruas Jalan Parakancanggah - Kenteng</v>
      </c>
      <c r="C5" s="20">
        <f>IFERROR(__xludf.DUMMYFUNCTION("""COMPUTED_VALUE"""),45456.0)</f>
        <v>45456</v>
      </c>
      <c r="D5" s="20">
        <f>IFERROR(__xludf.DUMMYFUNCTION("""COMPUTED_VALUE"""),45459.0)</f>
        <v>45459</v>
      </c>
      <c r="E5" s="21" t="str">
        <f>IFERROR(__xludf.DUMMYFUNCTION("""COMPUTED_VALUE"""),"Off")</f>
        <v>Off</v>
      </c>
      <c r="F5" s="22" t="str">
        <f>IFERROR(__xludf.DUMMYFUNCTION("""COMPUTED_VALUE"""),"")</f>
        <v/>
      </c>
      <c r="G5" s="23">
        <f>IFERROR(__xludf.DUMMYFUNCTION("""COMPUTED_VALUE"""),4.0)</f>
        <v>4</v>
      </c>
      <c r="H5" s="22" t="str">
        <f>IFERROR(__xludf.DUMMYFUNCTION("""COMPUTED_VALUE"""),"08.00 s/d 16.00")</f>
        <v>08.00 s/d 16.00</v>
      </c>
      <c r="I5" s="22"/>
      <c r="J5" s="22"/>
      <c r="K5" s="22"/>
      <c r="L5" s="22"/>
      <c r="M5" s="22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hidden="1">
      <c r="A6" s="22">
        <f>IFERROR(__xludf.DUMMYFUNCTION("""COMPUTED_VALUE"""),2.0)</f>
        <v>2</v>
      </c>
      <c r="B6" s="20" t="str">
        <f>IFERROR(__xludf.DUMMYFUNCTION("""COMPUTED_VALUE"""),"Peningkatan Jalan Ruas Jalan Karangtengah - Telaga Merdada")</f>
        <v>Peningkatan Jalan Ruas Jalan Karangtengah - Telaga Merdada</v>
      </c>
      <c r="C6" s="20">
        <f>IFERROR(__xludf.DUMMYFUNCTION("""COMPUTED_VALUE"""),45464.0)</f>
        <v>45464</v>
      </c>
      <c r="D6" s="20">
        <f>IFERROR(__xludf.DUMMYFUNCTION("""COMPUTED_VALUE"""),45465.0)</f>
        <v>45465</v>
      </c>
      <c r="E6" s="22" t="str">
        <f>IFERROR(__xludf.DUMMYFUNCTION("""COMPUTED_VALUE"""),"Off")</f>
        <v>Off</v>
      </c>
      <c r="F6" s="22" t="str">
        <f>IFERROR(__xludf.DUMMYFUNCTION("""COMPUTED_VALUE"""),"")</f>
        <v/>
      </c>
      <c r="G6" s="23">
        <f>IFERROR(__xludf.DUMMYFUNCTION("""COMPUTED_VALUE"""),2.0)</f>
        <v>2</v>
      </c>
      <c r="H6" s="22" t="str">
        <f>IFERROR(__xludf.DUMMYFUNCTION("""COMPUTED_VALUE"""),"08.00 s/d 16.00")</f>
        <v>08.00 s/d 16.00</v>
      </c>
      <c r="I6" s="22" t="str">
        <f>IFERROR(__xludf.DUMMYFUNCTION("""COMPUTED_VALUE"""),"0+000 s/d 0+650")</f>
        <v>0+000 s/d 0+650</v>
      </c>
      <c r="J6" s="22">
        <f>IFERROR(__xludf.DUMMYFUNCTION("""COMPUTED_VALUE"""),650.0)</f>
        <v>650</v>
      </c>
      <c r="K6" s="25">
        <f>IFERROR(__xludf.DUMMYFUNCTION("""COMPUTED_VALUE"""),4.0)</f>
        <v>4</v>
      </c>
      <c r="L6" s="22"/>
      <c r="M6" s="22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hidden="1">
      <c r="A7" s="22">
        <f>IFERROR(__xludf.DUMMYFUNCTION("""COMPUTED_VALUE"""),3.0)</f>
        <v>3</v>
      </c>
      <c r="B7" s="20" t="str">
        <f>IFERROR(__xludf.DUMMYFUNCTION("""COMPUTED_VALUE"""),"Peningkatan Jalan Ruas Jalan Situwangi - Pingit")</f>
        <v>Peningkatan Jalan Ruas Jalan Situwangi - Pingit</v>
      </c>
      <c r="C7" s="20">
        <f>IFERROR(__xludf.DUMMYFUNCTION("""COMPUTED_VALUE"""),45549.0)</f>
        <v>45549</v>
      </c>
      <c r="D7" s="20">
        <f>IFERROR(__xludf.DUMMYFUNCTION("""COMPUTED_VALUE"""),45549.0)</f>
        <v>45549</v>
      </c>
      <c r="E7" s="22" t="str">
        <f>IFERROR(__xludf.DUMMYFUNCTION("""COMPUTED_VALUE"""),"Off")</f>
        <v>Off</v>
      </c>
      <c r="F7" s="22" t="str">
        <f>IFERROR(__xludf.DUMMYFUNCTION("""COMPUTED_VALUE"""),"")</f>
        <v/>
      </c>
      <c r="G7" s="23">
        <f>IFERROR(__xludf.DUMMYFUNCTION("""COMPUTED_VALUE"""),1.0)</f>
        <v>1</v>
      </c>
      <c r="H7" s="22"/>
      <c r="I7" s="22"/>
      <c r="J7" s="22"/>
      <c r="K7" s="22"/>
      <c r="L7" s="22"/>
      <c r="M7" s="22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hidden="1">
      <c r="A8" s="22">
        <f>IFERROR(__xludf.DUMMYFUNCTION("""COMPUTED_VALUE"""),4.0)</f>
        <v>4</v>
      </c>
      <c r="B8" s="20"/>
      <c r="C8" s="20"/>
      <c r="D8" s="22"/>
      <c r="E8" s="22"/>
      <c r="F8" s="22" t="str">
        <f>IFERROR(__xludf.DUMMYFUNCTION("""COMPUTED_VALUE"""),"")</f>
        <v/>
      </c>
      <c r="G8" s="23"/>
      <c r="H8" s="22"/>
      <c r="I8" s="22"/>
      <c r="J8" s="22"/>
      <c r="K8" s="22"/>
      <c r="L8" s="22"/>
      <c r="M8" s="22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hidden="1">
      <c r="A9" s="22">
        <f>IFERROR(__xludf.DUMMYFUNCTION("""COMPUTED_VALUE"""),5.0)</f>
        <v>5</v>
      </c>
      <c r="B9" s="20" t="str">
        <f>IFERROR(__xludf.DUMMYFUNCTION("""COMPUTED_VALUE"""),"Peningkatan Jalan Ruas Jalan Karangkobar - Binangun")</f>
        <v>Peningkatan Jalan Ruas Jalan Karangkobar - Binangun</v>
      </c>
      <c r="C9" s="20" t="str">
        <f>IFERROR(__xludf.DUMMYFUNCTION("""COMPUTED_VALUE"""),"Senin, 25/11/2024")</f>
        <v>Senin, 25/11/2024</v>
      </c>
      <c r="D9" s="26" t="str">
        <f>IFERROR(__xludf.DUMMYFUNCTION("""COMPUTED_VALUE"""),"Kamis, 28/11/24")</f>
        <v>Kamis, 28/11/24</v>
      </c>
      <c r="E9" s="22" t="str">
        <f>IFERROR(__xludf.DUMMYFUNCTION("""COMPUTED_VALUE"""),"Jadwal selesai")</f>
        <v>Jadwal selesai</v>
      </c>
      <c r="F9" s="22" t="str">
        <f>IFERROR(__xludf.DUMMYFUNCTION("""COMPUTED_VALUE"""),"")</f>
        <v/>
      </c>
      <c r="G9" s="27">
        <f>IFERROR(__xludf.DUMMYFUNCTION("""COMPUTED_VALUE"""),4.0)</f>
        <v>4</v>
      </c>
      <c r="H9" s="22"/>
      <c r="I9" s="22"/>
      <c r="J9" s="22"/>
      <c r="K9" s="22"/>
      <c r="L9" s="28" t="str">
        <f>IFERROR(__xludf.DUMMYFUNCTION("""COMPUTED_VALUE"""),"https://maps.app.goo.gl/2zPiEnsM4gnRR2d8A")</f>
        <v>https://maps.app.goo.gl/2zPiEnsM4gnRR2d8A</v>
      </c>
      <c r="M9" s="22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hidden="1">
      <c r="A10" s="22"/>
      <c r="B10" s="20"/>
      <c r="C10" s="20" t="str">
        <f>IFERROR(__xludf.DUMMYFUNCTION("""COMPUTED_VALUE"""),"Senin, 25/11/2024")</f>
        <v>Senin, 25/11/2024</v>
      </c>
      <c r="D10" s="26" t="str">
        <f>IFERROR(__xludf.DUMMYFUNCTION("""COMPUTED_VALUE"""),"Senin, 25/11/2024")</f>
        <v>Senin, 25/11/2024</v>
      </c>
      <c r="E10" s="22" t="str">
        <f>IFERROR(__xludf.DUMMYFUNCTION("""COMPUTED_VALUE"""),"Off")</f>
        <v>Off</v>
      </c>
      <c r="F10" s="22"/>
      <c r="G10" s="23"/>
      <c r="H10" s="22" t="str">
        <f>IFERROR(__xludf.DUMMYFUNCTION("""COMPUTED_VALUE"""),"08.00 s/d 16.00")</f>
        <v>08.00 s/d 16.00</v>
      </c>
      <c r="I10" s="22"/>
      <c r="J10" s="22"/>
      <c r="K10" s="22"/>
      <c r="L10" s="22"/>
      <c r="M10" s="22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hidden="1">
      <c r="A11" s="22"/>
      <c r="B11" s="20"/>
      <c r="C11" s="20" t="str">
        <f>IFERROR(__xludf.DUMMYFUNCTION("""COMPUTED_VALUE"""),"Selasa, 26/11/2024")</f>
        <v>Selasa, 26/11/2024</v>
      </c>
      <c r="D11" s="26" t="str">
        <f>IFERROR(__xludf.DUMMYFUNCTION("""COMPUTED_VALUE"""),"Selasa, 26/11/2024")</f>
        <v>Selasa, 26/11/2024</v>
      </c>
      <c r="E11" s="22" t="str">
        <f>IFERROR(__xludf.DUMMYFUNCTION("""COMPUTED_VALUE"""),"Off")</f>
        <v>Off</v>
      </c>
      <c r="F11" s="22"/>
      <c r="G11" s="23"/>
      <c r="H11" s="22" t="str">
        <f>IFERROR(__xludf.DUMMYFUNCTION("""COMPUTED_VALUE"""),"08.00 s/d 16.00")</f>
        <v>08.00 s/d 16.00</v>
      </c>
      <c r="I11" s="22"/>
      <c r="J11" s="22"/>
      <c r="K11" s="22"/>
      <c r="L11" s="22"/>
      <c r="M11" s="22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hidden="1">
      <c r="A12" s="22"/>
      <c r="B12" s="20"/>
      <c r="C12" s="20" t="str">
        <f>IFERROR(__xludf.DUMMYFUNCTION("""COMPUTED_VALUE"""),"Rabu, 27/11/2024")</f>
        <v>Rabu, 27/11/2024</v>
      </c>
      <c r="D12" s="26" t="str">
        <f>IFERROR(__xludf.DUMMYFUNCTION("""COMPUTED_VALUE"""),"Rabu, 27/11/2024")</f>
        <v>Rabu, 27/11/2024</v>
      </c>
      <c r="E12" s="22" t="str">
        <f>IFERROR(__xludf.DUMMYFUNCTION("""COMPUTED_VALUE"""),"Off")</f>
        <v>Off</v>
      </c>
      <c r="F12" s="22"/>
      <c r="G12" s="23"/>
      <c r="H12" s="22" t="str">
        <f>IFERROR(__xludf.DUMMYFUNCTION("""COMPUTED_VALUE"""),"08.00 s/d 16.00")</f>
        <v>08.00 s/d 16.00</v>
      </c>
      <c r="I12" s="22"/>
      <c r="J12" s="22"/>
      <c r="K12" s="22"/>
      <c r="L12" s="22"/>
      <c r="M12" s="22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hidden="1">
      <c r="A13" s="15"/>
      <c r="B13" s="15"/>
      <c r="C13" s="29" t="str">
        <f>IFERROR(__xludf.DUMMYFUNCTION("""COMPUTED_VALUE"""),"Kamis, 28/11/2024")</f>
        <v>Kamis, 28/11/2024</v>
      </c>
      <c r="D13" s="30" t="str">
        <f>IFERROR(__xludf.DUMMYFUNCTION("""COMPUTED_VALUE"""),"Kamis, 28/11/2024")</f>
        <v>Kamis, 28/11/2024</v>
      </c>
      <c r="E13" s="15" t="str">
        <f>IFERROR(__xludf.DUMMYFUNCTION("""COMPUTED_VALUE"""),"Off")</f>
        <v>Off</v>
      </c>
      <c r="F13" s="15"/>
      <c r="G13" s="31"/>
      <c r="H13" s="15" t="str">
        <f>IFERROR(__xludf.DUMMYFUNCTION("""COMPUTED_VALUE"""),"08.00 s/d 16.00")</f>
        <v>08.00 s/d 16.00</v>
      </c>
      <c r="I13" s="15"/>
      <c r="J13" s="15"/>
      <c r="K13" s="15"/>
      <c r="L13" s="15"/>
      <c r="M13" s="15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idden="1">
      <c r="A14" s="22"/>
      <c r="B14" s="22"/>
      <c r="C14" s="20" t="str">
        <f>IFERROR(__xludf.DUMMYFUNCTION("""COMPUTED_VALUE"""),"Jumat, 29/11/2024")</f>
        <v>Jumat, 29/11/2024</v>
      </c>
      <c r="D14" s="26" t="str">
        <f>IFERROR(__xludf.DUMMYFUNCTION("""COMPUTED_VALUE"""),"Jumat, 29/11/2024")</f>
        <v>Jumat, 29/11/2024</v>
      </c>
      <c r="E14" s="22" t="str">
        <f>IFERROR(__xludf.DUMMYFUNCTION("""COMPUTED_VALUE"""),"Off")</f>
        <v>Off</v>
      </c>
      <c r="F14" s="22"/>
      <c r="G14" s="23"/>
      <c r="H14" s="22" t="str">
        <f>IFERROR(__xludf.DUMMYFUNCTION("""COMPUTED_VALUE"""),"08.00 s/d 16.00")</f>
        <v>08.00 s/d 16.00</v>
      </c>
      <c r="I14" s="22"/>
      <c r="J14" s="22"/>
      <c r="K14" s="22"/>
      <c r="L14" s="22"/>
      <c r="M14" s="22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hidden="1">
      <c r="A15" s="22">
        <f>IFERROR(__xludf.DUMMYFUNCTION("""COMPUTED_VALUE"""),6.0)</f>
        <v>6</v>
      </c>
      <c r="B15" s="22" t="str">
        <f>IFERROR(__xludf.DUMMYFUNCTION("""COMPUTED_VALUE"""),"Peningkatan Jalan Ruas Jalan Bulukuning - Kubang")</f>
        <v>Peningkatan Jalan Ruas Jalan Bulukuning - Kubang</v>
      </c>
      <c r="C15" s="20" t="str">
        <f>IFERROR(__xludf.DUMMYFUNCTION("""COMPUTED_VALUE"""),"Jumat, 15/10/2024")</f>
        <v>Jumat, 15/10/2024</v>
      </c>
      <c r="D15" s="26" t="str">
        <f>IFERROR(__xludf.DUMMYFUNCTION("""COMPUTED_VALUE"""),"Jumat, 18/10/2024")</f>
        <v>Jumat, 18/10/2024</v>
      </c>
      <c r="E15" s="22" t="str">
        <f>IFERROR(__xludf.DUMMYFUNCTION("""COMPUTED_VALUE"""),"Jadwal selesai")</f>
        <v>Jadwal selesai</v>
      </c>
      <c r="F15" s="22" t="str">
        <f>IFERROR(__xludf.DUMMYFUNCTION("""COMPUTED_VALUE"""),"")</f>
        <v/>
      </c>
      <c r="G15" s="27">
        <f>IFERROR(__xludf.DUMMYFUNCTION("""COMPUTED_VALUE"""),4.0)</f>
        <v>4</v>
      </c>
      <c r="H15" s="22"/>
      <c r="I15" s="22"/>
      <c r="J15" s="22"/>
      <c r="K15" s="22"/>
      <c r="L15" s="28" t="str">
        <f>IFERROR(__xludf.DUMMYFUNCTION("""COMPUTED_VALUE"""),"https://maps.app.goo.gl/df2Xfczk5vjvCzVA8")</f>
        <v>https://maps.app.goo.gl/df2Xfczk5vjvCzVA8</v>
      </c>
      <c r="M15" s="22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hidden="1">
      <c r="A16" s="15"/>
      <c r="B16" s="15"/>
      <c r="C16" s="29" t="str">
        <f>IFERROR(__xludf.DUMMYFUNCTION("""COMPUTED_VALUE"""),"Selasa, 15/10/2024")</f>
        <v>Selasa, 15/10/2024</v>
      </c>
      <c r="D16" s="30" t="str">
        <f>IFERROR(__xludf.DUMMYFUNCTION("""COMPUTED_VALUE"""),"Selasa, 15/10/2024")</f>
        <v>Selasa, 15/10/2024</v>
      </c>
      <c r="E16" s="15" t="str">
        <f>IFERROR(__xludf.DUMMYFUNCTION("""COMPUTED_VALUE"""),"Gelar")</f>
        <v>Gelar</v>
      </c>
      <c r="F16" s="15"/>
      <c r="G16" s="31"/>
      <c r="H16" s="15" t="str">
        <f>IFERROR(__xludf.DUMMYFUNCTION("""COMPUTED_VALUE"""),"08.00 s/d 16.00")</f>
        <v>08.00 s/d 16.00</v>
      </c>
      <c r="I16" s="15"/>
      <c r="J16" s="15"/>
      <c r="K16" s="15"/>
      <c r="L16" s="15"/>
      <c r="M16" s="15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idden="1">
      <c r="A17" s="22"/>
      <c r="B17" s="22"/>
      <c r="C17" s="20" t="str">
        <f>IFERROR(__xludf.DUMMYFUNCTION("""COMPUTED_VALUE"""),"Rabu, 16/10/2024")</f>
        <v>Rabu, 16/10/2024</v>
      </c>
      <c r="D17" s="26" t="str">
        <f>IFERROR(__xludf.DUMMYFUNCTION("""COMPUTED_VALUE"""),"Rabu, 16/10/2024")</f>
        <v>Rabu, 16/10/2024</v>
      </c>
      <c r="E17" s="22" t="str">
        <f>IFERROR(__xludf.DUMMYFUNCTION("""COMPUTED_VALUE"""),"Off")</f>
        <v>Off</v>
      </c>
      <c r="F17" s="22"/>
      <c r="G17" s="23"/>
      <c r="H17" s="22" t="str">
        <f>IFERROR(__xludf.DUMMYFUNCTION("""COMPUTED_VALUE"""),"08.00 s/d 16.00")</f>
        <v>08.00 s/d 16.00</v>
      </c>
      <c r="I17" s="22"/>
      <c r="J17" s="22"/>
      <c r="K17" s="22"/>
      <c r="L17" s="22"/>
      <c r="M17" s="22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hidden="1">
      <c r="A18" s="22"/>
      <c r="B18" s="22"/>
      <c r="C18" s="20" t="str">
        <f>IFERROR(__xludf.DUMMYFUNCTION("""COMPUTED_VALUE"""),"Kamis, 17/10/2024")</f>
        <v>Kamis, 17/10/2024</v>
      </c>
      <c r="D18" s="26" t="str">
        <f>IFERROR(__xludf.DUMMYFUNCTION("""COMPUTED_VALUE"""),"Kamis, 17/10/2024")</f>
        <v>Kamis, 17/10/2024</v>
      </c>
      <c r="E18" s="22" t="str">
        <f>IFERROR(__xludf.DUMMYFUNCTION("""COMPUTED_VALUE"""),"Off")</f>
        <v>Off</v>
      </c>
      <c r="F18" s="22"/>
      <c r="G18" s="23"/>
      <c r="H18" s="22" t="str">
        <f>IFERROR(__xludf.DUMMYFUNCTION("""COMPUTED_VALUE"""),"08.00 s/d 16.00")</f>
        <v>08.00 s/d 16.00</v>
      </c>
      <c r="I18" s="22"/>
      <c r="J18" s="22"/>
      <c r="K18" s="22"/>
      <c r="L18" s="22"/>
      <c r="M18" s="22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hidden="1">
      <c r="A19" s="22"/>
      <c r="B19" s="22"/>
      <c r="C19" s="20" t="str">
        <f>IFERROR(__xludf.DUMMYFUNCTION("""COMPUTED_VALUE"""),"Jumat, 18/10/2024")</f>
        <v>Jumat, 18/10/2024</v>
      </c>
      <c r="D19" s="26" t="str">
        <f>IFERROR(__xludf.DUMMYFUNCTION("""COMPUTED_VALUE"""),"Jumat, 18/10/2024")</f>
        <v>Jumat, 18/10/2024</v>
      </c>
      <c r="E19" s="22" t="str">
        <f>IFERROR(__xludf.DUMMYFUNCTION("""COMPUTED_VALUE"""),"Gelar")</f>
        <v>Gelar</v>
      </c>
      <c r="F19" s="22"/>
      <c r="G19" s="23"/>
      <c r="H19" s="22" t="str">
        <f>IFERROR(__xludf.DUMMYFUNCTION("""COMPUTED_VALUE"""),"08.00 s/d 16.00")</f>
        <v>08.00 s/d 16.00</v>
      </c>
      <c r="I19" s="22"/>
      <c r="J19" s="22"/>
      <c r="K19" s="22"/>
      <c r="L19" s="22"/>
      <c r="M19" s="22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hidden="1">
      <c r="A20" s="22">
        <f>IFERROR(__xludf.DUMMYFUNCTION("""COMPUTED_VALUE"""),7.0)</f>
        <v>7</v>
      </c>
      <c r="B20" s="22" t="str">
        <f>IFERROR(__xludf.DUMMYFUNCTION("""COMPUTED_VALUE"""),"Peningkatan Jalan Ruas Jalan Aribaya - Sokaraja")</f>
        <v>Peningkatan Jalan Ruas Jalan Aribaya - Sokaraja</v>
      </c>
      <c r="C20" s="20" t="str">
        <f>IFERROR(__xludf.DUMMYFUNCTION("""COMPUTED_VALUE"""),"Rabu, 16/10/2024")</f>
        <v>Rabu, 16/10/2024</v>
      </c>
      <c r="D20" s="26" t="str">
        <f>IFERROR(__xludf.DUMMYFUNCTION("""COMPUTED_VALUE"""),"Rabu, 16/10/2024")</f>
        <v>Rabu, 16/10/2024</v>
      </c>
      <c r="E20" s="22" t="str">
        <f>IFERROR(__xludf.DUMMYFUNCTION("""COMPUTED_VALUE"""),"Jadwal selesai")</f>
        <v>Jadwal selesai</v>
      </c>
      <c r="F20" s="22" t="str">
        <f>IFERROR(__xludf.DUMMYFUNCTION("""COMPUTED_VALUE"""),"")</f>
        <v/>
      </c>
      <c r="G20" s="27">
        <f>IFERROR(__xludf.DUMMYFUNCTION("""COMPUTED_VALUE"""),1.0)</f>
        <v>1</v>
      </c>
      <c r="H20" s="22"/>
      <c r="I20" s="22"/>
      <c r="J20" s="22"/>
      <c r="K20" s="22"/>
      <c r="L20" s="22"/>
      <c r="M20" s="22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hidden="1">
      <c r="A21" s="22"/>
      <c r="B21" s="22"/>
      <c r="C21" s="26" t="str">
        <f>IFERROR(__xludf.DUMMYFUNCTION("""COMPUTED_VALUE"""),"Rabu, 16/10/2024")</f>
        <v>Rabu, 16/10/2024</v>
      </c>
      <c r="D21" s="26" t="str">
        <f>IFERROR(__xludf.DUMMYFUNCTION("""COMPUTED_VALUE"""),"Rabu, 16/10/2024")</f>
        <v>Rabu, 16/10/2024</v>
      </c>
      <c r="E21" s="22" t="str">
        <f>IFERROR(__xludf.DUMMYFUNCTION("""COMPUTED_VALUE"""),"Gelar")</f>
        <v>Gelar</v>
      </c>
      <c r="F21" s="22"/>
      <c r="G21" s="23"/>
      <c r="H21" s="22" t="str">
        <f>IFERROR(__xludf.DUMMYFUNCTION("""COMPUTED_VALUE"""),"08.00 s/d 16.00")</f>
        <v>08.00 s/d 16.00</v>
      </c>
      <c r="I21" s="22"/>
      <c r="J21" s="22"/>
      <c r="K21" s="22"/>
      <c r="L21" s="22"/>
      <c r="M21" s="22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hidden="1">
      <c r="A22" s="15">
        <f>IFERROR(__xludf.DUMMYFUNCTION("""COMPUTED_VALUE"""),8.0)</f>
        <v>8</v>
      </c>
      <c r="B22" s="15" t="str">
        <f>IFERROR(__xludf.DUMMYFUNCTION("""COMPUTED_VALUE"""),"Peningkatan jalan Ruas Getas - Batas Pekalongan")</f>
        <v>Peningkatan jalan Ruas Getas - Batas Pekalongan</v>
      </c>
      <c r="C22" s="30" t="str">
        <f>IFERROR(__xludf.DUMMYFUNCTION("""COMPUTED_VALUE"""),"Rabu, 18/09/2024")</f>
        <v>Rabu, 18/09/2024</v>
      </c>
      <c r="D22" s="30" t="str">
        <f>IFERROR(__xludf.DUMMYFUNCTION("""COMPUTED_VALUE"""),"Kamis, 19/09/2024")</f>
        <v>Kamis, 19/09/2024</v>
      </c>
      <c r="E22" s="15" t="str">
        <f>IFERROR(__xludf.DUMMYFUNCTION("""COMPUTED_VALUE"""),"Jadwal selesai")</f>
        <v>Jadwal selesai</v>
      </c>
      <c r="F22" s="15" t="str">
        <f>IFERROR(__xludf.DUMMYFUNCTION("""COMPUTED_VALUE"""),"")</f>
        <v/>
      </c>
      <c r="G22" s="32">
        <f>IFERROR(__xludf.DUMMYFUNCTION("""COMPUTED_VALUE"""),2.0)</f>
        <v>2</v>
      </c>
      <c r="H22" s="15"/>
      <c r="I22" s="15"/>
      <c r="J22" s="15"/>
      <c r="K22" s="15"/>
      <c r="L22" s="33" t="str">
        <f>IFERROR(__xludf.DUMMYFUNCTION("""COMPUTED_VALUE"""),"https://maps.app.goo.gl/odbN3FHtzEdDRcUe8?g_st=aw")</f>
        <v>https://maps.app.goo.gl/odbN3FHtzEdDRcUe8?g_st=aw</v>
      </c>
      <c r="M22" s="15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idden="1">
      <c r="A23" s="22"/>
      <c r="B23" s="22"/>
      <c r="C23" s="26" t="str">
        <f>IFERROR(__xludf.DUMMYFUNCTION("""COMPUTED_VALUE"""),"Rabu, 18/09/2024")</f>
        <v>Rabu, 18/09/2024</v>
      </c>
      <c r="D23" s="26" t="str">
        <f>IFERROR(__xludf.DUMMYFUNCTION("""COMPUTED_VALUE"""),"Rabu, 18/09/2024")</f>
        <v>Rabu, 18/09/2024</v>
      </c>
      <c r="E23" s="22" t="str">
        <f>IFERROR(__xludf.DUMMYFUNCTION("""COMPUTED_VALUE"""),"Gelar")</f>
        <v>Gelar</v>
      </c>
      <c r="F23" s="22"/>
      <c r="G23" s="23"/>
      <c r="H23" s="22" t="str">
        <f>IFERROR(__xludf.DUMMYFUNCTION("""COMPUTED_VALUE"""),"08.00 s/d 16.00")</f>
        <v>08.00 s/d 16.00</v>
      </c>
      <c r="I23" s="22"/>
      <c r="J23" s="22"/>
      <c r="K23" s="22"/>
      <c r="L23" s="28" t="str">
        <f>IFERROR(__xludf.DUMMYFUNCTION("""COMPUTED_VALUE"""),"https://maps.app.goo.gl/odbN3FHtzEdDRcUe8?g_st=aw")</f>
        <v>https://maps.app.goo.gl/odbN3FHtzEdDRcUe8?g_st=aw</v>
      </c>
      <c r="M23" s="22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hidden="1">
      <c r="A24" s="15"/>
      <c r="B24" s="15"/>
      <c r="C24" s="30" t="str">
        <f>IFERROR(__xludf.DUMMYFUNCTION("""COMPUTED_VALUE"""),"Kamis, 19/09/2024")</f>
        <v>Kamis, 19/09/2024</v>
      </c>
      <c r="D24" s="30" t="str">
        <f>IFERROR(__xludf.DUMMYFUNCTION("""COMPUTED_VALUE"""),"Kamis, 19/09/2024")</f>
        <v>Kamis, 19/09/2024</v>
      </c>
      <c r="E24" s="15" t="str">
        <f>IFERROR(__xludf.DUMMYFUNCTION("""COMPUTED_VALUE"""),"Gelar")</f>
        <v>Gelar</v>
      </c>
      <c r="F24" s="15"/>
      <c r="G24" s="31"/>
      <c r="H24" s="15" t="str">
        <f>IFERROR(__xludf.DUMMYFUNCTION("""COMPUTED_VALUE"""),"08.00 s/d 16.00")</f>
        <v>08.00 s/d 16.00</v>
      </c>
      <c r="I24" s="15"/>
      <c r="J24" s="15"/>
      <c r="K24" s="15"/>
      <c r="L24" s="33" t="str">
        <f>IFERROR(__xludf.DUMMYFUNCTION("""COMPUTED_VALUE"""),"https://maps.app.goo.gl/odbN3FHtzEdDRcUe8?g_st=aw")</f>
        <v>https://maps.app.goo.gl/odbN3FHtzEdDRcUe8?g_st=aw</v>
      </c>
      <c r="M24" s="15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idden="1">
      <c r="A25" s="22">
        <f>IFERROR(__xludf.DUMMYFUNCTION("""COMPUTED_VALUE"""),9.0)</f>
        <v>9</v>
      </c>
      <c r="B25" s="22" t="str">
        <f>IFERROR(__xludf.DUMMYFUNCTION("""COMPUTED_VALUE"""),"Peningkatan Jalan Ruas Jalan  Mlaya - Getas Kec. Pandanarum")</f>
        <v>Peningkatan Jalan Ruas Jalan  Mlaya - Getas Kec. Pandanarum</v>
      </c>
      <c r="C25" s="26" t="str">
        <f>IFERROR(__xludf.DUMMYFUNCTION("""COMPUTED_VALUE"""),"Senin, 06/10/2025")</f>
        <v>Senin, 06/10/2025</v>
      </c>
      <c r="D25" s="26" t="str">
        <f>IFERROR(__xludf.DUMMYFUNCTION("""COMPUTED_VALUE"""),"Sabtu, 11/10/2025")</f>
        <v>Sabtu, 11/10/2025</v>
      </c>
      <c r="E25" s="22" t="str">
        <f>IFERROR(__xludf.DUMMYFUNCTION("""COMPUTED_VALUE"""),"Jadwal selesai")</f>
        <v>Jadwal selesai</v>
      </c>
      <c r="F25" s="22" t="str">
        <f>IFERROR(__xludf.DUMMYFUNCTION("""COMPUTED_VALUE"""),"")</f>
        <v/>
      </c>
      <c r="G25" s="27">
        <f>IFERROR(__xludf.DUMMYFUNCTION("""COMPUTED_VALUE"""),6.0)</f>
        <v>6</v>
      </c>
      <c r="H25" s="22"/>
      <c r="I25" s="22"/>
      <c r="J25" s="22"/>
      <c r="K25" s="22"/>
      <c r="L25" s="28" t="str">
        <f>IFERROR(__xludf.DUMMYFUNCTION("""COMPUTED_VALUE"""),"https://maps.app.goo.gl/7aKyCWUAYzii1ZE6A")</f>
        <v>https://maps.app.goo.gl/7aKyCWUAYzii1ZE6A</v>
      </c>
      <c r="M25" s="22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hidden="1">
      <c r="A26" s="22"/>
      <c r="B26" s="22"/>
      <c r="C26" s="26" t="str">
        <f>IFERROR(__xludf.DUMMYFUNCTION("""COMPUTED_VALUE"""),"Senin, 06/10/2025")</f>
        <v>Senin, 06/10/2025</v>
      </c>
      <c r="D26" s="26" t="str">
        <f>IFERROR(__xludf.DUMMYFUNCTION("""COMPUTED_VALUE"""),"Senin, 06/10/2025")</f>
        <v>Senin, 06/10/2025</v>
      </c>
      <c r="E26" s="22" t="str">
        <f>IFERROR(__xludf.DUMMYFUNCTION("""COMPUTED_VALUE"""),"Gelar")</f>
        <v>Gelar</v>
      </c>
      <c r="F26" s="22"/>
      <c r="G26" s="23"/>
      <c r="H26" s="22" t="str">
        <f>IFERROR(__xludf.DUMMYFUNCTION("""COMPUTED_VALUE"""),"08.00 s/d 16.00")</f>
        <v>08.00 s/d 16.00</v>
      </c>
      <c r="I26" s="22"/>
      <c r="J26" s="22"/>
      <c r="K26" s="22"/>
      <c r="L26" s="22"/>
      <c r="M26" s="22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hidden="1">
      <c r="A27" s="22"/>
      <c r="B27" s="22"/>
      <c r="C27" s="26" t="str">
        <f>IFERROR(__xludf.DUMMYFUNCTION("""COMPUTED_VALUE"""),"Selasa, 07/10/2025")</f>
        <v>Selasa, 07/10/2025</v>
      </c>
      <c r="D27" s="26" t="str">
        <f>IFERROR(__xludf.DUMMYFUNCTION("""COMPUTED_VALUE"""),"Selasa, 07/10/2025")</f>
        <v>Selasa, 07/10/2025</v>
      </c>
      <c r="E27" s="22" t="str">
        <f>IFERROR(__xludf.DUMMYFUNCTION("""COMPUTED_VALUE"""),"Gelar")</f>
        <v>Gelar</v>
      </c>
      <c r="F27" s="22"/>
      <c r="G27" s="23"/>
      <c r="H27" s="22" t="str">
        <f>IFERROR(__xludf.DUMMYFUNCTION("""COMPUTED_VALUE"""),"08.00 s/d 16.00")</f>
        <v>08.00 s/d 16.00</v>
      </c>
      <c r="I27" s="22"/>
      <c r="J27" s="22"/>
      <c r="K27" s="22"/>
      <c r="L27" s="22"/>
      <c r="M27" s="22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hidden="1">
      <c r="A28" s="22"/>
      <c r="B28" s="22"/>
      <c r="C28" s="26" t="str">
        <f>IFERROR(__xludf.DUMMYFUNCTION("""COMPUTED_VALUE"""),"Rabu, 08/10/2025")</f>
        <v>Rabu, 08/10/2025</v>
      </c>
      <c r="D28" s="26" t="str">
        <f>IFERROR(__xludf.DUMMYFUNCTION("""COMPUTED_VALUE"""),"Rabu, 08/10/2025")</f>
        <v>Rabu, 08/10/2025</v>
      </c>
      <c r="E28" s="22" t="str">
        <f>IFERROR(__xludf.DUMMYFUNCTION("""COMPUTED_VALUE"""),"Off")</f>
        <v>Off</v>
      </c>
      <c r="F28" s="22"/>
      <c r="G28" s="23"/>
      <c r="H28" s="22" t="str">
        <f>IFERROR(__xludf.DUMMYFUNCTION("""COMPUTED_VALUE"""),"08.00 s/d 16.00")</f>
        <v>08.00 s/d 16.00</v>
      </c>
      <c r="I28" s="22"/>
      <c r="J28" s="22"/>
      <c r="K28" s="22"/>
      <c r="L28" s="22"/>
      <c r="M28" s="22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hidden="1">
      <c r="A29" s="22"/>
      <c r="B29" s="22"/>
      <c r="C29" s="26" t="str">
        <f>IFERROR(__xludf.DUMMYFUNCTION("""COMPUTED_VALUE"""),"Kamis, 09/10/2025")</f>
        <v>Kamis, 09/10/2025</v>
      </c>
      <c r="D29" s="26" t="str">
        <f>IFERROR(__xludf.DUMMYFUNCTION("""COMPUTED_VALUE"""),"Kamis, 09/10/2025")</f>
        <v>Kamis, 09/10/2025</v>
      </c>
      <c r="E29" s="22" t="str">
        <f>IFERROR(__xludf.DUMMYFUNCTION("""COMPUTED_VALUE"""),"Off")</f>
        <v>Off</v>
      </c>
      <c r="F29" s="22"/>
      <c r="G29" s="23"/>
      <c r="H29" s="22" t="str">
        <f>IFERROR(__xludf.DUMMYFUNCTION("""COMPUTED_VALUE"""),"08.00 s/d 16.00")</f>
        <v>08.00 s/d 16.00</v>
      </c>
      <c r="I29" s="22"/>
      <c r="J29" s="22"/>
      <c r="K29" s="22"/>
      <c r="L29" s="22"/>
      <c r="M29" s="22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hidden="1">
      <c r="A30" s="22"/>
      <c r="B30" s="22"/>
      <c r="C30" s="26" t="str">
        <f>IFERROR(__xludf.DUMMYFUNCTION("""COMPUTED_VALUE"""),"Jumat, 10/10/2025")</f>
        <v>Jumat, 10/10/2025</v>
      </c>
      <c r="D30" s="26" t="str">
        <f>IFERROR(__xludf.DUMMYFUNCTION("""COMPUTED_VALUE"""),"Jumat, 10/10/2025")</f>
        <v>Jumat, 10/10/2025</v>
      </c>
      <c r="E30" s="22" t="str">
        <f>IFERROR(__xludf.DUMMYFUNCTION("""COMPUTED_VALUE"""),"Off")</f>
        <v>Off</v>
      </c>
      <c r="F30" s="22" t="str">
        <f>IFERROR(__xludf.DUMMYFUNCTION("""COMPUTED_VALUE"""),"")</f>
        <v/>
      </c>
      <c r="G30" s="23"/>
      <c r="H30" s="22" t="str">
        <f>IFERROR(__xludf.DUMMYFUNCTION("""COMPUTED_VALUE"""),"08.00 s/d 16.00")</f>
        <v>08.00 s/d 16.00</v>
      </c>
      <c r="I30" s="22"/>
      <c r="J30" s="22"/>
      <c r="K30" s="22"/>
      <c r="L30" s="28" t="str">
        <f>IFERROR(__xludf.DUMMYFUNCTION("""COMPUTED_VALUE"""),"https://maps.app.goo.gl/7aKyCWUAYzii1ZE6A")</f>
        <v>https://maps.app.goo.gl/7aKyCWUAYzii1ZE6A</v>
      </c>
      <c r="M30" s="22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hidden="1">
      <c r="A31" s="22"/>
      <c r="B31" s="22"/>
      <c r="C31" s="26" t="str">
        <f>IFERROR(__xludf.DUMMYFUNCTION("""COMPUTED_VALUE"""),"Sabtu, 11/10/2025")</f>
        <v>Sabtu, 11/10/2025</v>
      </c>
      <c r="D31" s="26" t="str">
        <f>IFERROR(__xludf.DUMMYFUNCTION("""COMPUTED_VALUE"""),"Sabtu, 11/10/2025")</f>
        <v>Sabtu, 11/10/2025</v>
      </c>
      <c r="E31" s="22" t="str">
        <f>IFERROR(__xludf.DUMMYFUNCTION("""COMPUTED_VALUE"""),"Off")</f>
        <v>Off</v>
      </c>
      <c r="F31" s="22" t="str">
        <f>IFERROR(__xludf.DUMMYFUNCTION("""COMPUTED_VALUE"""),"")</f>
        <v/>
      </c>
      <c r="G31" s="23"/>
      <c r="H31" s="22" t="str">
        <f>IFERROR(__xludf.DUMMYFUNCTION("""COMPUTED_VALUE"""),"08.00 s/d 16.00")</f>
        <v>08.00 s/d 16.00</v>
      </c>
      <c r="I31" s="22"/>
      <c r="J31" s="22"/>
      <c r="K31" s="22"/>
      <c r="L31" s="22"/>
      <c r="M31" s="22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hidden="1">
      <c r="A32" s="22">
        <f>IFERROR(__xludf.DUMMYFUNCTION("""COMPUTED_VALUE"""),10.0)</f>
        <v>10</v>
      </c>
      <c r="B32" s="22" t="str">
        <f>IFERROR(__xludf.DUMMYFUNCTION("""COMPUTED_VALUE"""),"Rehabilitasi Jalan Bandingan - Bantarmalang (III.26) KAB. BANJARNEGARA")</f>
        <v>Rehabilitasi Jalan Bandingan - Bantarmalang (III.26) KAB. BANJARNEGARA</v>
      </c>
      <c r="C32" s="26" t="str">
        <f>IFERROR(__xludf.DUMMYFUNCTION("""COMPUTED_VALUE"""),"Jumat, 21/11/2025")</f>
        <v>Jumat, 21/11/2025</v>
      </c>
      <c r="D32" s="26" t="str">
        <f>IFERROR(__xludf.DUMMYFUNCTION("""COMPUTED_VALUE"""),"Minggu, 30/11/2025")</f>
        <v>Minggu, 30/11/2025</v>
      </c>
      <c r="E32" s="22" t="str">
        <f>IFERROR(__xludf.DUMMYFUNCTION("""COMPUTED_VALUE"""),"Jadwal selesai")</f>
        <v>Jadwal selesai</v>
      </c>
      <c r="F32" s="34" t="str">
        <f>IFERROR(__xludf.DUMMYFUNCTION("""COMPUTED_VALUE"""),"")</f>
        <v/>
      </c>
      <c r="G32" s="23"/>
      <c r="H32" s="22"/>
      <c r="I32" s="22"/>
      <c r="J32" s="22"/>
      <c r="K32" s="22"/>
      <c r="L32" s="22"/>
      <c r="M32" s="22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hidden="1">
      <c r="A33" s="21"/>
      <c r="B33" s="21"/>
      <c r="C33" s="26" t="str">
        <f>IFERROR(__xludf.DUMMYFUNCTION("""COMPUTED_VALUE"""),"Jumat, 21/11/2025")</f>
        <v>Jumat, 21/11/2025</v>
      </c>
      <c r="D33" s="26" t="str">
        <f>IFERROR(__xludf.DUMMYFUNCTION("""COMPUTED_VALUE"""),"Jumat, 21/11/2025")</f>
        <v>Jumat, 21/11/2025</v>
      </c>
      <c r="E33" s="22" t="str">
        <f>IFERROR(__xludf.DUMMYFUNCTION("""COMPUTED_VALUE"""),"Jadwal selesai")</f>
        <v>Jadwal selesai</v>
      </c>
      <c r="F33" s="34" t="str">
        <f>IFERROR(__xludf.DUMMYFUNCTION("""COMPUTED_VALUE"""),"")</f>
        <v/>
      </c>
      <c r="G33" s="27">
        <f>IFERROR(__xludf.DUMMYFUNCTION("""COMPUTED_VALUE"""),1.0)</f>
        <v>1</v>
      </c>
      <c r="H33" s="22" t="str">
        <f>IFERROR(__xludf.DUMMYFUNCTION("""COMPUTED_VALUE"""),"08.00 s/d 16.00")</f>
        <v>08.00 s/d 16.00</v>
      </c>
      <c r="I33" s="22"/>
      <c r="J33" s="22"/>
      <c r="K33" s="22"/>
      <c r="L33" s="22"/>
      <c r="M33" s="22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hidden="1">
      <c r="A34" s="22"/>
      <c r="B34" s="22"/>
      <c r="C34" s="26" t="str">
        <f>IFERROR(__xludf.DUMMYFUNCTION("""COMPUTED_VALUE"""),"Sabtu, 22/11/2025")</f>
        <v>Sabtu, 22/11/2025</v>
      </c>
      <c r="D34" s="26" t="str">
        <f>IFERROR(__xludf.DUMMYFUNCTION("""COMPUTED_VALUE"""),"Sabtu, 22/11/2025")</f>
        <v>Sabtu, 22/11/2025</v>
      </c>
      <c r="E34" s="22" t="str">
        <f>IFERROR(__xludf.DUMMYFUNCTION("""COMPUTED_VALUE"""),"Jadwal selesai")</f>
        <v>Jadwal selesai</v>
      </c>
      <c r="F34" s="34" t="str">
        <f>IFERROR(__xludf.DUMMYFUNCTION("""COMPUTED_VALUE"""),"")</f>
        <v/>
      </c>
      <c r="G34" s="23">
        <f>IFERROR(__xludf.DUMMYFUNCTION("""COMPUTED_VALUE"""),2.0)</f>
        <v>2</v>
      </c>
      <c r="H34" s="22" t="str">
        <f>IFERROR(__xludf.DUMMYFUNCTION("""COMPUTED_VALUE"""),"08.00 s/d 16.00")</f>
        <v>08.00 s/d 16.00</v>
      </c>
      <c r="I34" s="22"/>
      <c r="J34" s="22"/>
      <c r="K34" s="22"/>
      <c r="L34" s="22"/>
      <c r="M34" s="22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hidden="1">
      <c r="A35" s="22"/>
      <c r="B35" s="22"/>
      <c r="C35" s="26" t="str">
        <f>IFERROR(__xludf.DUMMYFUNCTION("""COMPUTED_VALUE"""),"Minggu, 23/11/2025")</f>
        <v>Minggu, 23/11/2025</v>
      </c>
      <c r="D35" s="26" t="str">
        <f>IFERROR(__xludf.DUMMYFUNCTION("""COMPUTED_VALUE"""),"Minggu, 23/11/2025")</f>
        <v>Minggu, 23/11/2025</v>
      </c>
      <c r="E35" s="22" t="str">
        <f>IFERROR(__xludf.DUMMYFUNCTION("""COMPUTED_VALUE"""),"Jadwal selesai")</f>
        <v>Jadwal selesai</v>
      </c>
      <c r="F35" s="22" t="str">
        <f>IFERROR(__xludf.DUMMYFUNCTION("""COMPUTED_VALUE"""),"")</f>
        <v/>
      </c>
      <c r="G35" s="23">
        <f>IFERROR(__xludf.DUMMYFUNCTION("""COMPUTED_VALUE"""),3.0)</f>
        <v>3</v>
      </c>
      <c r="H35" s="22" t="str">
        <f>IFERROR(__xludf.DUMMYFUNCTION("""COMPUTED_VALUE"""),"08.00 s/d 16.00")</f>
        <v>08.00 s/d 16.00</v>
      </c>
      <c r="I35" s="22"/>
      <c r="J35" s="22"/>
      <c r="K35" s="22"/>
      <c r="L35" s="22"/>
      <c r="M35" s="22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hidden="1">
      <c r="A36" s="22"/>
      <c r="B36" s="22"/>
      <c r="C36" s="26" t="str">
        <f>IFERROR(__xludf.DUMMYFUNCTION("""COMPUTED_VALUE"""),"Senin, 24/11/2025")</f>
        <v>Senin, 24/11/2025</v>
      </c>
      <c r="D36" s="26" t="str">
        <f>IFERROR(__xludf.DUMMYFUNCTION("""COMPUTED_VALUE"""),"Senin, 24/11/2025")</f>
        <v>Senin, 24/11/2025</v>
      </c>
      <c r="E36" s="22" t="str">
        <f>IFERROR(__xludf.DUMMYFUNCTION("""COMPUTED_VALUE"""),"Jadwal selesai")</f>
        <v>Jadwal selesai</v>
      </c>
      <c r="F36" s="22" t="str">
        <f>IFERROR(__xludf.DUMMYFUNCTION("""COMPUTED_VALUE"""),"")</f>
        <v/>
      </c>
      <c r="G36" s="23">
        <f>IFERROR(__xludf.DUMMYFUNCTION("""COMPUTED_VALUE"""),4.0)</f>
        <v>4</v>
      </c>
      <c r="H36" s="22" t="str">
        <f>IFERROR(__xludf.DUMMYFUNCTION("""COMPUTED_VALUE"""),"08.00 s/d 16.00")</f>
        <v>08.00 s/d 16.00</v>
      </c>
      <c r="I36" s="22"/>
      <c r="J36" s="22"/>
      <c r="K36" s="22"/>
      <c r="L36" s="22"/>
      <c r="M36" s="22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hidden="1">
      <c r="A37" s="22"/>
      <c r="B37" s="22"/>
      <c r="C37" s="26" t="str">
        <f>IFERROR(__xludf.DUMMYFUNCTION("""COMPUTED_VALUE"""),"Selasa, 25/11/2025")</f>
        <v>Selasa, 25/11/2025</v>
      </c>
      <c r="D37" s="26" t="str">
        <f>IFERROR(__xludf.DUMMYFUNCTION("""COMPUTED_VALUE"""),"Selasa, 25/11/2025")</f>
        <v>Selasa, 25/11/2025</v>
      </c>
      <c r="E37" s="22" t="str">
        <f>IFERROR(__xludf.DUMMYFUNCTION("""COMPUTED_VALUE"""),"Jadwal selesai")</f>
        <v>Jadwal selesai</v>
      </c>
      <c r="F37" s="22" t="str">
        <f>IFERROR(__xludf.DUMMYFUNCTION("""COMPUTED_VALUE"""),"")</f>
        <v/>
      </c>
      <c r="G37" s="23">
        <f>IFERROR(__xludf.DUMMYFUNCTION("""COMPUTED_VALUE"""),5.0)</f>
        <v>5</v>
      </c>
      <c r="H37" s="22" t="str">
        <f>IFERROR(__xludf.DUMMYFUNCTION("""COMPUTED_VALUE"""),"08.00 s/d 16.00")</f>
        <v>08.00 s/d 16.00</v>
      </c>
      <c r="I37" s="22"/>
      <c r="J37" s="22"/>
      <c r="K37" s="22"/>
      <c r="L37" s="22"/>
      <c r="M37" s="22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hidden="1">
      <c r="A38" s="22"/>
      <c r="B38" s="22"/>
      <c r="C38" s="26" t="str">
        <f>IFERROR(__xludf.DUMMYFUNCTION("""COMPUTED_VALUE"""),"Rabu, 26/11/2025")</f>
        <v>Rabu, 26/11/2025</v>
      </c>
      <c r="D38" s="26" t="str">
        <f>IFERROR(__xludf.DUMMYFUNCTION("""COMPUTED_VALUE"""),"Rabu, 26/11/2025")</f>
        <v>Rabu, 26/11/2025</v>
      </c>
      <c r="E38" s="22" t="str">
        <f>IFERROR(__xludf.DUMMYFUNCTION("""COMPUTED_VALUE"""),"Off")</f>
        <v>Off</v>
      </c>
      <c r="F38" s="22"/>
      <c r="G38" s="23">
        <f>IFERROR(__xludf.DUMMYFUNCTION("""COMPUTED_VALUE"""),6.0)</f>
        <v>6</v>
      </c>
      <c r="H38" s="22" t="str">
        <f>IFERROR(__xludf.DUMMYFUNCTION("""COMPUTED_VALUE"""),"08.00 s/d 16.00")</f>
        <v>08.00 s/d 16.00</v>
      </c>
      <c r="I38" s="22"/>
      <c r="J38" s="22"/>
      <c r="K38" s="22"/>
      <c r="L38" s="22"/>
      <c r="M38" s="22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hidden="1">
      <c r="A39" s="22"/>
      <c r="B39" s="22"/>
      <c r="C39" s="26" t="str">
        <f>IFERROR(__xludf.DUMMYFUNCTION("""COMPUTED_VALUE"""),"Kamis, 27/11/2025")</f>
        <v>Kamis, 27/11/2025</v>
      </c>
      <c r="D39" s="26" t="str">
        <f>IFERROR(__xludf.DUMMYFUNCTION("""COMPUTED_VALUE"""),"Kamis, 27/11/2025")</f>
        <v>Kamis, 27/11/2025</v>
      </c>
      <c r="E39" s="22" t="str">
        <f>IFERROR(__xludf.DUMMYFUNCTION("""COMPUTED_VALUE"""),"Off")</f>
        <v>Off</v>
      </c>
      <c r="F39" s="22"/>
      <c r="G39" s="23">
        <f>IFERROR(__xludf.DUMMYFUNCTION("""COMPUTED_VALUE"""),7.0)</f>
        <v>7</v>
      </c>
      <c r="H39" s="22" t="str">
        <f>IFERROR(__xludf.DUMMYFUNCTION("""COMPUTED_VALUE"""),"08.00 s/d 16.00")</f>
        <v>08.00 s/d 16.00</v>
      </c>
      <c r="I39" s="22"/>
      <c r="J39" s="22"/>
      <c r="K39" s="22"/>
      <c r="L39" s="22"/>
      <c r="M39" s="22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hidden="1">
      <c r="A40" s="22"/>
      <c r="B40" s="22"/>
      <c r="C40" s="26" t="str">
        <f>IFERROR(__xludf.DUMMYFUNCTION("""COMPUTED_VALUE"""),"Jumat, 28/11/2025")</f>
        <v>Jumat, 28/11/2025</v>
      </c>
      <c r="D40" s="26" t="str">
        <f>IFERROR(__xludf.DUMMYFUNCTION("""COMPUTED_VALUE"""),"Jumat, 28/11/2025")</f>
        <v>Jumat, 28/11/2025</v>
      </c>
      <c r="E40" s="22" t="str">
        <f>IFERROR(__xludf.DUMMYFUNCTION("""COMPUTED_VALUE"""),"Off")</f>
        <v>Off</v>
      </c>
      <c r="F40" s="22"/>
      <c r="G40" s="23">
        <f>IFERROR(__xludf.DUMMYFUNCTION("""COMPUTED_VALUE"""),8.0)</f>
        <v>8</v>
      </c>
      <c r="H40" s="22" t="str">
        <f>IFERROR(__xludf.DUMMYFUNCTION("""COMPUTED_VALUE"""),"08.00 s/d 16.00")</f>
        <v>08.00 s/d 16.00</v>
      </c>
      <c r="I40" s="22"/>
      <c r="J40" s="22"/>
      <c r="K40" s="22"/>
      <c r="L40" s="22"/>
      <c r="M40" s="22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hidden="1">
      <c r="A41" s="22"/>
      <c r="B41" s="22"/>
      <c r="C41" s="26" t="str">
        <f>IFERROR(__xludf.DUMMYFUNCTION("""COMPUTED_VALUE"""),"Sabtu, 29/11/2025")</f>
        <v>Sabtu, 29/11/2025</v>
      </c>
      <c r="D41" s="26" t="str">
        <f>IFERROR(__xludf.DUMMYFUNCTION("""COMPUTED_VALUE"""),"Sabtu, 29/11/2025")</f>
        <v>Sabtu, 29/11/2025</v>
      </c>
      <c r="E41" s="22" t="str">
        <f>IFERROR(__xludf.DUMMYFUNCTION("""COMPUTED_VALUE"""),"Off")</f>
        <v>Off</v>
      </c>
      <c r="F41" s="22"/>
      <c r="G41" s="23">
        <f>IFERROR(__xludf.DUMMYFUNCTION("""COMPUTED_VALUE"""),9.0)</f>
        <v>9</v>
      </c>
      <c r="H41" s="22" t="str">
        <f>IFERROR(__xludf.DUMMYFUNCTION("""COMPUTED_VALUE"""),"08.00 s/d 16.00")</f>
        <v>08.00 s/d 16.00</v>
      </c>
      <c r="I41" s="22"/>
      <c r="J41" s="22"/>
      <c r="K41" s="22"/>
      <c r="L41" s="22"/>
      <c r="M41" s="22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hidden="1">
      <c r="A42" s="35"/>
      <c r="B42" s="35"/>
      <c r="C42" s="36" t="str">
        <f>IFERROR(__xludf.DUMMYFUNCTION("""COMPUTED_VALUE"""),"Minggu, 30/11/2025")</f>
        <v>Minggu, 30/11/2025</v>
      </c>
      <c r="D42" s="36" t="str">
        <f>IFERROR(__xludf.DUMMYFUNCTION("""COMPUTED_VALUE"""),"Minggu, 30/11/2025")</f>
        <v>Minggu, 30/11/2025</v>
      </c>
      <c r="E42" s="35" t="str">
        <f>IFERROR(__xludf.DUMMYFUNCTION("""COMPUTED_VALUE"""),"Off")</f>
        <v>Off</v>
      </c>
      <c r="F42" s="35"/>
      <c r="G42" s="37">
        <f>IFERROR(__xludf.DUMMYFUNCTION("""COMPUTED_VALUE"""),10.0)</f>
        <v>10</v>
      </c>
      <c r="H42" s="35" t="str">
        <f>IFERROR(__xludf.DUMMYFUNCTION("""COMPUTED_VALUE"""),"08.00 s/d 16.00")</f>
        <v>08.00 s/d 16.00</v>
      </c>
      <c r="I42" s="35"/>
      <c r="J42" s="35"/>
      <c r="K42" s="35"/>
      <c r="L42" s="35"/>
      <c r="M42" s="35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>
      <c r="A43" s="37">
        <f>IFERROR(__xludf.DUMMYFUNCTION("""COMPUTED_VALUE"""),1.0)</f>
        <v>1</v>
      </c>
      <c r="B43" s="35" t="str">
        <f>IFERROR(__xludf.DUMMYFUNCTION("""COMPUTED_VALUE"""),"Pemeliharaan Jalan Ruas Jalan Mandiraja - Banjengan")</f>
        <v>Pemeliharaan Jalan Ruas Jalan Mandiraja - Banjengan</v>
      </c>
      <c r="C43" s="36" t="str">
        <f>IFERROR(__xludf.DUMMYFUNCTION("""COMPUTED_VALUE"""),"Jumat, 29/05/2026")</f>
        <v>Jumat, 29/05/2026</v>
      </c>
      <c r="D43" s="36" t="str">
        <f>IFERROR(__xludf.DUMMYFUNCTION("""COMPUTED_VALUE"""),"Jumat, 29/05/2026")</f>
        <v>Jumat, 29/05/2026</v>
      </c>
      <c r="E43" s="35" t="str">
        <f>IFERROR(__xludf.DUMMYFUNCTION("""COMPUTED_VALUE"""),"Selesai")</f>
        <v>Selesai</v>
      </c>
      <c r="F43" s="35" t="str">
        <f>IFERROR(__xludf.DUMMYFUNCTION("""COMPUTED_VALUE"""),"Jumat, 29/05/2026 s/d Jumat, 29/05/2026")</f>
        <v>Jumat, 29/05/2026 s/d Jumat, 29/05/2026</v>
      </c>
      <c r="G43" s="38">
        <f>IFERROR(__xludf.DUMMYFUNCTION("""COMPUTED_VALUE"""),1.0)</f>
        <v>1</v>
      </c>
      <c r="H43" s="35" t="str">
        <f>IFERROR(__xludf.DUMMYFUNCTION("""COMPUTED_VALUE"""),"08.00 s/d 16.00")</f>
        <v>08.00 s/d 16.00</v>
      </c>
      <c r="I43" s="35" t="str">
        <f>IFERROR(__xludf.DUMMYFUNCTION("""COMPUTED_VALUE"""),"0+000 s/d 0+700")</f>
        <v>0+000 s/d 0+700</v>
      </c>
      <c r="J43" s="35" t="str">
        <f>IFERROR(__xludf.DUMMYFUNCTION("""COMPUTED_VALUE"""),"700 m")</f>
        <v>700 m</v>
      </c>
      <c r="K43" s="35" t="str">
        <f>IFERROR(__xludf.DUMMYFUNCTION("""COMPUTED_VALUE"""),"4,5 m")</f>
        <v>4,5 m</v>
      </c>
      <c r="L43" s="39" t="str">
        <f>IFERROR(__xludf.DUMMYFUNCTION("""COMPUTED_VALUE"""),"https://maps.app.goo.gl/2FGyZNt6mgjy3HCh9")</f>
        <v>https://maps.app.goo.gl/2FGyZNt6mgjy3HCh9</v>
      </c>
      <c r="M43" s="40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>
      <c r="A44" s="41"/>
      <c r="B44" s="42"/>
      <c r="C44" s="43" t="str">
        <f>IFERROR(__xludf.DUMMYFUNCTION("""COMPUTED_VALUE"""),"Sabtu, 30/05/2026")</f>
        <v>Sabtu, 30/05/2026</v>
      </c>
      <c r="D44" s="43" t="str">
        <f>IFERROR(__xludf.DUMMYFUNCTION("""COMPUTED_VALUE"""),"Sabtu, 30/05/2026")</f>
        <v>Sabtu, 30/05/2026</v>
      </c>
      <c r="E44" s="42" t="str">
        <f>IFERROR(__xludf.DUMMYFUNCTION("""COMPUTED_VALUE"""),"Selesai")</f>
        <v>Selesai</v>
      </c>
      <c r="F44" s="42" t="str">
        <f>IFERROR(__xludf.DUMMYFUNCTION("""COMPUTED_VALUE"""),"Sabtu, 30/05/2026 s/d Sabtu, 30/05/2026")</f>
        <v>Sabtu, 30/05/2026 s/d Sabtu, 30/05/2026</v>
      </c>
      <c r="G44" s="41">
        <f>IFERROR(__xludf.DUMMYFUNCTION("""COMPUTED_VALUE"""),2.0)</f>
        <v>2</v>
      </c>
      <c r="H44" s="42" t="str">
        <f>IFERROR(__xludf.DUMMYFUNCTION("""COMPUTED_VALUE"""),"08.00 s/d 16.00")</f>
        <v>08.00 s/d 16.00</v>
      </c>
      <c r="I44" s="42"/>
      <c r="J44" s="42"/>
      <c r="K44" s="42"/>
      <c r="L44" s="42"/>
      <c r="M44" s="42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>
      <c r="A45" s="37">
        <f>IFERROR(__xludf.DUMMYFUNCTION("""COMPUTED_VALUE"""),2.0)</f>
        <v>2</v>
      </c>
      <c r="B45" s="35" t="str">
        <f>IFERROR(__xludf.DUMMYFUNCTION("""COMPUTED_VALUE"""),"Pemeliharaan Jalan Ruas Jalan Klampok – Kecitran")</f>
        <v>Pemeliharaan Jalan Ruas Jalan Klampok – Kecitran</v>
      </c>
      <c r="C45" s="36" t="str">
        <f>IFERROR(__xludf.DUMMYFUNCTION("""COMPUTED_VALUE"""),"Minggu, 31/05/2026")</f>
        <v>Minggu, 31/05/2026</v>
      </c>
      <c r="D45" s="36" t="str">
        <f>IFERROR(__xludf.DUMMYFUNCTION("""COMPUTED_VALUE"""),"Minggu, 31/05/2026")</f>
        <v>Minggu, 31/05/2026</v>
      </c>
      <c r="E45" s="35" t="str">
        <f>IFERROR(__xludf.DUMMYFUNCTION("""COMPUTED_VALUE"""),"Selesai")</f>
        <v>Selesai</v>
      </c>
      <c r="F45" s="35" t="str">
        <f>IFERROR(__xludf.DUMMYFUNCTION("""COMPUTED_VALUE"""),"Minggu, 31/05/2026 s/d Minggu, 31/05/2026")</f>
        <v>Minggu, 31/05/2026 s/d Minggu, 31/05/2026</v>
      </c>
      <c r="G45" s="38">
        <f>IFERROR(__xludf.DUMMYFUNCTION("""COMPUTED_VALUE"""),1.0)</f>
        <v>1</v>
      </c>
      <c r="H45" s="35" t="str">
        <f>IFERROR(__xludf.DUMMYFUNCTION("""COMPUTED_VALUE"""),"08.00 s/d 16.00")</f>
        <v>08.00 s/d 16.00</v>
      </c>
      <c r="I45" s="35"/>
      <c r="J45" s="35"/>
      <c r="K45" s="35"/>
      <c r="L45" s="35"/>
      <c r="M45" s="35" t="str">
        <f>IFERROR(__xludf.DUMMYFUNCTION("""COMPUTED_VALUE"""),"Trial Compaction")</f>
        <v>Trial Compaction</v>
      </c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>
      <c r="A46" s="44"/>
      <c r="B46" s="45"/>
      <c r="C46" s="46" t="str">
        <f>IFERROR(__xludf.DUMMYFUNCTION("""COMPUTED_VALUE"""),"Rabu, 03/06/2026")</f>
        <v>Rabu, 03/06/2026</v>
      </c>
      <c r="D46" s="46" t="str">
        <f>IFERROR(__xludf.DUMMYFUNCTION("""COMPUTED_VALUE"""),"Rabu, 03/06/2026")</f>
        <v>Rabu, 03/06/2026</v>
      </c>
      <c r="E46" s="45" t="str">
        <f>IFERROR(__xludf.DUMMYFUNCTION("""COMPUTED_VALUE"""),"Selesai")</f>
        <v>Selesai</v>
      </c>
      <c r="F46" s="45" t="str">
        <f>IFERROR(__xludf.DUMMYFUNCTION("""COMPUTED_VALUE"""),"Rabu, 03/06/2026 s/d Rabu, 03/06/2026")</f>
        <v>Rabu, 03/06/2026 s/d Rabu, 03/06/2026</v>
      </c>
      <c r="G46" s="44">
        <f>IFERROR(__xludf.DUMMYFUNCTION("""COMPUTED_VALUE"""),2.0)</f>
        <v>2</v>
      </c>
      <c r="H46" s="45" t="str">
        <f>IFERROR(__xludf.DUMMYFUNCTION("""COMPUTED_VALUE"""),"08.00 s/d 16.00")</f>
        <v>08.00 s/d 16.00</v>
      </c>
      <c r="I46" s="45" t="str">
        <f>IFERROR(__xludf.DUMMYFUNCTION("""COMPUTED_VALUE"""),"0+775 s/d 1+960")</f>
        <v>0+775 s/d 1+960</v>
      </c>
      <c r="J46" s="45" t="str">
        <f>IFERROR(__xludf.DUMMYFUNCTION("""COMPUTED_VALUE"""),"1.185 m")</f>
        <v>1.185 m</v>
      </c>
      <c r="K46" s="45" t="str">
        <f>IFERROR(__xludf.DUMMYFUNCTION("""COMPUTED_VALUE"""),"3,0 m")</f>
        <v>3,0 m</v>
      </c>
      <c r="L46" s="47" t="str">
        <f>IFERROR(__xludf.DUMMYFUNCTION("""COMPUTED_VALUE"""),"https://maps.app.goo.gl/a9nj9PxcwamBovag9")</f>
        <v>https://maps.app.goo.gl/a9nj9PxcwamBovag9</v>
      </c>
      <c r="M46" s="45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>
      <c r="A47" s="44">
        <f>IFERROR(__xludf.DUMMYFUNCTION("""COMPUTED_VALUE"""),3.0)</f>
        <v>3</v>
      </c>
      <c r="B47" s="45" t="str">
        <f>IFERROR(__xludf.DUMMYFUNCTION("""COMPUTED_VALUE"""),"Pemeliharaan Jalan Ruas Jalan Kertayasa - Simbang")</f>
        <v>Pemeliharaan Jalan Ruas Jalan Kertayasa - Simbang</v>
      </c>
      <c r="C47" s="46" t="str">
        <f>IFERROR(__xludf.DUMMYFUNCTION("""COMPUTED_VALUE"""),"Kamis, 04/06/2026")</f>
        <v>Kamis, 04/06/2026</v>
      </c>
      <c r="D47" s="46" t="str">
        <f>IFERROR(__xludf.DUMMYFUNCTION("""COMPUTED_VALUE"""),"Kamis, 04/06/2026")</f>
        <v>Kamis, 04/06/2026</v>
      </c>
      <c r="E47" s="45" t="str">
        <f>IFERROR(__xludf.DUMMYFUNCTION("""COMPUTED_VALUE"""),"Selesai")</f>
        <v>Selesai</v>
      </c>
      <c r="F47" s="45" t="str">
        <f>IFERROR(__xludf.DUMMYFUNCTION("""COMPUTED_VALUE"""),"Kamis, 04/06/2026 s/d Kamis, 04/06/2026")</f>
        <v>Kamis, 04/06/2026 s/d Kamis, 04/06/2026</v>
      </c>
      <c r="G47" s="44">
        <f>IFERROR(__xludf.DUMMYFUNCTION("""COMPUTED_VALUE"""),1.0)</f>
        <v>1</v>
      </c>
      <c r="H47" s="45" t="str">
        <f>IFERROR(__xludf.DUMMYFUNCTION("""COMPUTED_VALUE"""),"08.00 s/d 16.00")</f>
        <v>08.00 s/d 16.00</v>
      </c>
      <c r="I47" s="45" t="str">
        <f>IFERROR(__xludf.DUMMYFUNCTION("""COMPUTED_VALUE"""),"0+000 s/d 0+200 ; 
0+500 s/d 0+850")</f>
        <v>0+000 s/d 0+200 ; 
0+500 s/d 0+850</v>
      </c>
      <c r="J47" s="45" t="str">
        <f>IFERROR(__xludf.DUMMYFUNCTION("""COMPUTED_VALUE"""),"420 m")</f>
        <v>420 m</v>
      </c>
      <c r="K47" s="45" t="str">
        <f>IFERROR(__xludf.DUMMYFUNCTION("""COMPUTED_VALUE"""),"3,0 m")</f>
        <v>3,0 m</v>
      </c>
      <c r="L47" s="47" t="str">
        <f>IFERROR(__xludf.DUMMYFUNCTION("""COMPUTED_VALUE"""),"https://maps.app.goo.gl/DVYdpPFLp1SeKU337")</f>
        <v>https://maps.app.goo.gl/DVYdpPFLp1SeKU337</v>
      </c>
      <c r="M47" s="45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>
      <c r="A48" s="37">
        <f>IFERROR(__xludf.DUMMYFUNCTION("""COMPUTED_VALUE"""),4.0)</f>
        <v>4</v>
      </c>
      <c r="B48" s="35" t="str">
        <f>IFERROR(__xludf.DUMMYFUNCTION("""COMPUTED_VALUE"""),"Peningkatan Jalan Ruas Jalan Winong – Kutayasa")</f>
        <v>Peningkatan Jalan Ruas Jalan Winong – Kutayasa</v>
      </c>
      <c r="C48" s="36" t="str">
        <f>IFERROR(__xludf.DUMMYFUNCTION("""COMPUTED_VALUE"""),"Jumat, 05/06/2026")</f>
        <v>Jumat, 05/06/2026</v>
      </c>
      <c r="D48" s="36" t="str">
        <f>IFERROR(__xludf.DUMMYFUNCTION("""COMPUTED_VALUE"""),"Jumat, 05/06/2026")</f>
        <v>Jumat, 05/06/2026</v>
      </c>
      <c r="E48" s="35" t="str">
        <f>IFERROR(__xludf.DUMMYFUNCTION("""COMPUTED_VALUE"""),"Selesai")</f>
        <v>Selesai</v>
      </c>
      <c r="F48" s="35" t="str">
        <f>IFERROR(__xludf.DUMMYFUNCTION("""COMPUTED_VALUE"""),"Jumat, 05/06/2026 s/d Jumat, 05/06/2026")</f>
        <v>Jumat, 05/06/2026 s/d Jumat, 05/06/2026</v>
      </c>
      <c r="G48" s="37">
        <f>IFERROR(__xludf.DUMMYFUNCTION("""COMPUTED_VALUE"""),1.0)</f>
        <v>1</v>
      </c>
      <c r="H48" s="35" t="str">
        <f>IFERROR(__xludf.DUMMYFUNCTION("""COMPUTED_VALUE"""),"08.00 s/d 16.00")</f>
        <v>08.00 s/d 16.00</v>
      </c>
      <c r="I48" s="35" t="str">
        <f>IFERROR(__xludf.DUMMYFUNCTION("""COMPUTED_VALUE"""),"0+000 s/d 0+858")</f>
        <v>0+000 s/d 0+858</v>
      </c>
      <c r="J48" s="35" t="str">
        <f>IFERROR(__xludf.DUMMYFUNCTION("""COMPUTED_VALUE"""),"858 m")</f>
        <v>858 m</v>
      </c>
      <c r="K48" s="35" t="str">
        <f>IFERROR(__xludf.DUMMYFUNCTION("""COMPUTED_VALUE"""),"3,0 m")</f>
        <v>3,0 m</v>
      </c>
      <c r="L48" s="35"/>
      <c r="M48" s="35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>
      <c r="A49" s="37">
        <f>IFERROR(__xludf.DUMMYFUNCTION("""COMPUTED_VALUE"""),5.0)</f>
        <v>5</v>
      </c>
      <c r="B49" s="35" t="str">
        <f>IFERROR(__xludf.DUMMYFUNCTION("""COMPUTED_VALUE"""),"Peningkatan Jalan Ruas Jalan Purwajiwa - BTS Kabupaten Batang")</f>
        <v>Peningkatan Jalan Ruas Jalan Purwajiwa - BTS Kabupaten Batang</v>
      </c>
      <c r="C49" s="36" t="str">
        <f>IFERROR(__xludf.DUMMYFUNCTION("""COMPUTED_VALUE"""),"Kamis, 11/06/2026")</f>
        <v>Kamis, 11/06/2026</v>
      </c>
      <c r="D49" s="36" t="str">
        <f>IFERROR(__xludf.DUMMYFUNCTION("""COMPUTED_VALUE"""),"Kamis, 11/06/2026")</f>
        <v>Kamis, 11/06/2026</v>
      </c>
      <c r="E49" s="35" t="str">
        <f>IFERROR(__xludf.DUMMYFUNCTION("""COMPUTED_VALUE"""),"Selesai")</f>
        <v>Selesai</v>
      </c>
      <c r="F49" s="35" t="str">
        <f>IFERROR(__xludf.DUMMYFUNCTION("""COMPUTED_VALUE"""),"Kamis, 11/06/2026 s/d Kamis, 11/06/2026")</f>
        <v>Kamis, 11/06/2026 s/d Kamis, 11/06/2026</v>
      </c>
      <c r="G49" s="37">
        <f>IFERROR(__xludf.DUMMYFUNCTION("""COMPUTED_VALUE"""),2.0)</f>
        <v>2</v>
      </c>
      <c r="H49" s="35" t="str">
        <f>IFERROR(__xludf.DUMMYFUNCTION("""COMPUTED_VALUE"""),"11.00 s/d 16.00")</f>
        <v>11.00 s/d 16.00</v>
      </c>
      <c r="I49" s="35" t="str">
        <f>IFERROR(__xludf.DUMMYFUNCTION("""COMPUTED_VALUE"""),"2+550 s/d 2+650")</f>
        <v>2+550 s/d 2+650</v>
      </c>
      <c r="J49" s="35" t="str">
        <f>IFERROR(__xludf.DUMMYFUNCTION("""COMPUTED_VALUE"""),"100 m")</f>
        <v>100 m</v>
      </c>
      <c r="K49" s="35" t="str">
        <f>IFERROR(__xludf.DUMMYFUNCTION("""COMPUTED_VALUE"""),"4,0 m")</f>
        <v>4,0 m</v>
      </c>
      <c r="L49" s="39" t="str">
        <f>IFERROR(__xludf.DUMMYFUNCTION("""COMPUTED_VALUE"""),"https://maps.app.goo.gl/zF8Q4zEpi164Jfv69")</f>
        <v>https://maps.app.goo.gl/zF8Q4zEpi164Jfv69</v>
      </c>
      <c r="M49" s="35" t="str">
        <f>IFERROR(__xludf.DUMMYFUNCTION("""COMPUTED_VALUE"""),"Trial Compaction")</f>
        <v>Trial Compaction</v>
      </c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>
      <c r="A50" s="41"/>
      <c r="B50" s="42"/>
      <c r="C50" s="43" t="str">
        <f>IFERROR(__xludf.DUMMYFUNCTION("""COMPUTED_VALUE"""),"Selasa, 16/06/2026")</f>
        <v>Selasa, 16/06/2026</v>
      </c>
      <c r="D50" s="43" t="str">
        <f>IFERROR(__xludf.DUMMYFUNCTION("""COMPUTED_VALUE"""),"Selasa, 16/06/2026")</f>
        <v>Selasa, 16/06/2026</v>
      </c>
      <c r="E50" s="42" t="str">
        <f>IFERROR(__xludf.DUMMYFUNCTION("""COMPUTED_VALUE"""),"Selesai")</f>
        <v>Selesai</v>
      </c>
      <c r="F50" s="42" t="str">
        <f>IFERROR(__xludf.DUMMYFUNCTION("""COMPUTED_VALUE"""),"Selasa, 16/06/2026 s/d Selasa, 16/06/2026")</f>
        <v>Selasa, 16/06/2026 s/d Selasa, 16/06/2026</v>
      </c>
      <c r="G50" s="48">
        <f>IFERROR(__xludf.DUMMYFUNCTION("""COMPUTED_VALUE"""),3.0)</f>
        <v>3</v>
      </c>
      <c r="H50" s="42" t="str">
        <f>IFERROR(__xludf.DUMMYFUNCTION("""COMPUTED_VALUE"""),"08.00 s/d 16.00")</f>
        <v>08.00 s/d 16.00</v>
      </c>
      <c r="I50" s="42" t="str">
        <f>IFERROR(__xludf.DUMMYFUNCTION("""COMPUTED_VALUE"""),"2+800 s/d 2+500")</f>
        <v>2+800 s/d 2+500</v>
      </c>
      <c r="J50" s="42" t="str">
        <f>IFERROR(__xludf.DUMMYFUNCTION("""COMPUTED_VALUE"""),"300 m")</f>
        <v>300 m</v>
      </c>
      <c r="K50" s="42" t="str">
        <f>IFERROR(__xludf.DUMMYFUNCTION("""COMPUTED_VALUE"""),"4,0 m")</f>
        <v>4,0 m</v>
      </c>
      <c r="L50" s="49" t="str">
        <f>IFERROR(__xludf.DUMMYFUNCTION("""COMPUTED_VALUE"""),"https://maps.app.goo.gl/RwDdPUkizaHByK1h9")</f>
        <v>https://maps.app.goo.gl/RwDdPUkizaHByK1h9</v>
      </c>
      <c r="M50" s="42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>
      <c r="A51" s="41"/>
      <c r="B51" s="42"/>
      <c r="C51" s="43" t="str">
        <f>IFERROR(__xludf.DUMMYFUNCTION("""COMPUTED_VALUE"""),"Kamis, 18/06/2026")</f>
        <v>Kamis, 18/06/2026</v>
      </c>
      <c r="D51" s="43" t="str">
        <f>IFERROR(__xludf.DUMMYFUNCTION("""COMPUTED_VALUE"""),"Kamis, 18/06/2026")</f>
        <v>Kamis, 18/06/2026</v>
      </c>
      <c r="E51" s="42" t="str">
        <f>IFERROR(__xludf.DUMMYFUNCTION("""COMPUTED_VALUE"""),"Selesai")</f>
        <v>Selesai</v>
      </c>
      <c r="F51" s="42" t="str">
        <f>IFERROR(__xludf.DUMMYFUNCTION("""COMPUTED_VALUE"""),"Kamis, 18/06/2026 s/d Kamis, 18/06/2026")</f>
        <v>Kamis, 18/06/2026 s/d Kamis, 18/06/2026</v>
      </c>
      <c r="G51" s="41">
        <f>IFERROR(__xludf.DUMMYFUNCTION("""COMPUTED_VALUE"""),4.0)</f>
        <v>4</v>
      </c>
      <c r="H51" s="42" t="str">
        <f>IFERROR(__xludf.DUMMYFUNCTION("""COMPUTED_VALUE"""),"08.00 s/d 16.00")</f>
        <v>08.00 s/d 16.00</v>
      </c>
      <c r="I51" s="42"/>
      <c r="J51" s="42"/>
      <c r="K51" s="42"/>
      <c r="L51" s="42"/>
      <c r="M51" s="42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>
      <c r="A52" s="41"/>
      <c r="B52" s="42"/>
      <c r="C52" s="43" t="str">
        <f>IFERROR(__xludf.DUMMYFUNCTION("""COMPUTED_VALUE"""),"Jumat, 19/06/2026")</f>
        <v>Jumat, 19/06/2026</v>
      </c>
      <c r="D52" s="43" t="str">
        <f>IFERROR(__xludf.DUMMYFUNCTION("""COMPUTED_VALUE"""),"Jumat, 19/06/2026")</f>
        <v>Jumat, 19/06/2026</v>
      </c>
      <c r="E52" s="42" t="str">
        <f>IFERROR(__xludf.DUMMYFUNCTION("""COMPUTED_VALUE"""),"Selesai")</f>
        <v>Selesai</v>
      </c>
      <c r="F52" s="42" t="str">
        <f>IFERROR(__xludf.DUMMYFUNCTION("""COMPUTED_VALUE"""),"Jumat, 19/06/2026 s/d Jumat, 19/06/2026")</f>
        <v>Jumat, 19/06/2026 s/d Jumat, 19/06/2026</v>
      </c>
      <c r="G52" s="41">
        <f>IFERROR(__xludf.DUMMYFUNCTION("""COMPUTED_VALUE"""),5.0)</f>
        <v>5</v>
      </c>
      <c r="H52" s="42" t="str">
        <f>IFERROR(__xludf.DUMMYFUNCTION("""COMPUTED_VALUE"""),"08.00 s/d 16.00")</f>
        <v>08.00 s/d 16.00</v>
      </c>
      <c r="I52" s="42"/>
      <c r="J52" s="42"/>
      <c r="K52" s="42"/>
      <c r="L52" s="42"/>
      <c r="M52" s="42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>
      <c r="A53" s="41"/>
      <c r="B53" s="42"/>
      <c r="C53" s="43" t="str">
        <f>IFERROR(__xludf.DUMMYFUNCTION("""COMPUTED_VALUE"""),"Senin, 29/06/2026")</f>
        <v>Senin, 29/06/2026</v>
      </c>
      <c r="D53" s="43" t="str">
        <f>IFERROR(__xludf.DUMMYFUNCTION("""COMPUTED_VALUE"""),"Senin, 29/06/2026")</f>
        <v>Senin, 29/06/2026</v>
      </c>
      <c r="E53" s="42" t="str">
        <f>IFERROR(__xludf.DUMMYFUNCTION("""COMPUTED_VALUE"""),"Selesai")</f>
        <v>Selesai</v>
      </c>
      <c r="F53" s="42" t="str">
        <f>IFERROR(__xludf.DUMMYFUNCTION("""COMPUTED_VALUE"""),"Senin, 29/06/2026 s/d Senin, 29/06/2026")</f>
        <v>Senin, 29/06/2026 s/d Senin, 29/06/2026</v>
      </c>
      <c r="G53" s="41">
        <f>IFERROR(__xludf.DUMMYFUNCTION("""COMPUTED_VALUE"""),6.0)</f>
        <v>6</v>
      </c>
      <c r="H53" s="42" t="str">
        <f>IFERROR(__xludf.DUMMYFUNCTION("""COMPUTED_VALUE"""),"08.00 s/d 16.00")</f>
        <v>08.00 s/d 16.00</v>
      </c>
      <c r="I53" s="42"/>
      <c r="J53" s="42"/>
      <c r="K53" s="42"/>
      <c r="L53" s="42"/>
      <c r="M53" s="42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>
      <c r="A54" s="41"/>
      <c r="B54" s="42"/>
      <c r="C54" s="43" t="str">
        <f>IFERROR(__xludf.DUMMYFUNCTION("""COMPUTED_VALUE"""),"Selasa, 30/06/2026")</f>
        <v>Selasa, 30/06/2026</v>
      </c>
      <c r="D54" s="43" t="str">
        <f>IFERROR(__xludf.DUMMYFUNCTION("""COMPUTED_VALUE"""),"Selasa, 30/06/2026")</f>
        <v>Selasa, 30/06/2026</v>
      </c>
      <c r="E54" s="42" t="str">
        <f>IFERROR(__xludf.DUMMYFUNCTION("""COMPUTED_VALUE"""),"Selesai")</f>
        <v>Selesai</v>
      </c>
      <c r="F54" s="42" t="str">
        <f>IFERROR(__xludf.DUMMYFUNCTION("""COMPUTED_VALUE"""),"Selasa, 30/06/2026 s/d Selasa, 30/06/2026")</f>
        <v>Selasa, 30/06/2026 s/d Selasa, 30/06/2026</v>
      </c>
      <c r="G54" s="41">
        <f>IFERROR(__xludf.DUMMYFUNCTION("""COMPUTED_VALUE"""),7.0)</f>
        <v>7</v>
      </c>
      <c r="H54" s="42" t="str">
        <f>IFERROR(__xludf.DUMMYFUNCTION("""COMPUTED_VALUE"""),"08.00 s/d 16.00")</f>
        <v>08.00 s/d 16.00</v>
      </c>
      <c r="I54" s="42"/>
      <c r="J54" s="42"/>
      <c r="K54" s="42"/>
      <c r="L54" s="42"/>
      <c r="M54" s="42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>
      <c r="A55" s="41"/>
      <c r="B55" s="42"/>
      <c r="C55" s="43" t="str">
        <f>IFERROR(__xludf.DUMMYFUNCTION("""COMPUTED_VALUE"""),"Rabu, 01/07/2026")</f>
        <v>Rabu, 01/07/2026</v>
      </c>
      <c r="D55" s="43" t="str">
        <f>IFERROR(__xludf.DUMMYFUNCTION("""COMPUTED_VALUE"""),"Rabu, 01/07/2026")</f>
        <v>Rabu, 01/07/2026</v>
      </c>
      <c r="E55" s="42" t="str">
        <f>IFERROR(__xludf.DUMMYFUNCTION("""COMPUTED_VALUE"""),"Selesai")</f>
        <v>Selesai</v>
      </c>
      <c r="F55" s="42" t="str">
        <f>IFERROR(__xludf.DUMMYFUNCTION("""COMPUTED_VALUE"""),"Rabu, 01/07/2026 s/d Rabu, 01/07/2026")</f>
        <v>Rabu, 01/07/2026 s/d Rabu, 01/07/2026</v>
      </c>
      <c r="G55" s="41">
        <f>IFERROR(__xludf.DUMMYFUNCTION("""COMPUTED_VALUE"""),8.0)</f>
        <v>8</v>
      </c>
      <c r="H55" s="42" t="str">
        <f>IFERROR(__xludf.DUMMYFUNCTION("""COMPUTED_VALUE"""),"08.00 s/d 16.00")</f>
        <v>08.00 s/d 16.00</v>
      </c>
      <c r="I55" s="42"/>
      <c r="J55" s="42"/>
      <c r="K55" s="42"/>
      <c r="L55" s="42"/>
      <c r="M55" s="42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>
      <c r="A56" s="41"/>
      <c r="B56" s="42"/>
      <c r="C56" s="43" t="str">
        <f>IFERROR(__xludf.DUMMYFUNCTION("""COMPUTED_VALUE"""),"Jumat, 03/07/2026")</f>
        <v>Jumat, 03/07/2026</v>
      </c>
      <c r="D56" s="43" t="str">
        <f>IFERROR(__xludf.DUMMYFUNCTION("""COMPUTED_VALUE"""),"Jumat, 03/07/2026")</f>
        <v>Jumat, 03/07/2026</v>
      </c>
      <c r="E56" s="42" t="str">
        <f>IFERROR(__xludf.DUMMYFUNCTION("""COMPUTED_VALUE"""),"Selesai")</f>
        <v>Selesai</v>
      </c>
      <c r="F56" s="42" t="str">
        <f>IFERROR(__xludf.DUMMYFUNCTION("""COMPUTED_VALUE"""),"Jumat, 03/07/2026 s/d Jumat, 03/07/2026")</f>
        <v>Jumat, 03/07/2026 s/d Jumat, 03/07/2026</v>
      </c>
      <c r="G56" s="41">
        <f>IFERROR(__xludf.DUMMYFUNCTION("""COMPUTED_VALUE"""),9.0)</f>
        <v>9</v>
      </c>
      <c r="H56" s="42" t="str">
        <f>IFERROR(__xludf.DUMMYFUNCTION("""COMPUTED_VALUE"""),"08.00 s/d 16.00")</f>
        <v>08.00 s/d 16.00</v>
      </c>
      <c r="I56" s="42"/>
      <c r="J56" s="42"/>
      <c r="K56" s="42"/>
      <c r="L56" s="42"/>
      <c r="M56" s="42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>
      <c r="A57" s="41"/>
      <c r="B57" s="42"/>
      <c r="C57" s="43" t="str">
        <f>IFERROR(__xludf.DUMMYFUNCTION("""COMPUTED_VALUE"""),"Sabtu, 04/07/2026")</f>
        <v>Sabtu, 04/07/2026</v>
      </c>
      <c r="D57" s="43" t="str">
        <f>IFERROR(__xludf.DUMMYFUNCTION("""COMPUTED_VALUE"""),"Sabtu, 04/07/2026")</f>
        <v>Sabtu, 04/07/2026</v>
      </c>
      <c r="E57" s="42" t="str">
        <f>IFERROR(__xludf.DUMMYFUNCTION("""COMPUTED_VALUE"""),"Selesai")</f>
        <v>Selesai</v>
      </c>
      <c r="F57" s="42" t="str">
        <f>IFERROR(__xludf.DUMMYFUNCTION("""COMPUTED_VALUE"""),"Sabtu, 04/07/2026 s/d Sabtu, 04/07/2026")</f>
        <v>Sabtu, 04/07/2026 s/d Sabtu, 04/07/2026</v>
      </c>
      <c r="G57" s="41">
        <f>IFERROR(__xludf.DUMMYFUNCTION("""COMPUTED_VALUE"""),10.0)</f>
        <v>10</v>
      </c>
      <c r="H57" s="42" t="str">
        <f>IFERROR(__xludf.DUMMYFUNCTION("""COMPUTED_VALUE"""),"08.00 s/d 16.00")</f>
        <v>08.00 s/d 16.00</v>
      </c>
      <c r="I57" s="42"/>
      <c r="J57" s="42"/>
      <c r="K57" s="42"/>
      <c r="L57" s="42"/>
      <c r="M57" s="42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>
      <c r="A58" s="41"/>
      <c r="B58" s="42"/>
      <c r="C58" s="43" t="str">
        <f>IFERROR(__xludf.DUMMYFUNCTION("""COMPUTED_VALUE"""),"Senin, 06/07/2026")</f>
        <v>Senin, 06/07/2026</v>
      </c>
      <c r="D58" s="43" t="str">
        <f>IFERROR(__xludf.DUMMYFUNCTION("""COMPUTED_VALUE"""),"Senin, 06/07/2026")</f>
        <v>Senin, 06/07/2026</v>
      </c>
      <c r="E58" s="42" t="str">
        <f>IFERROR(__xludf.DUMMYFUNCTION("""COMPUTED_VALUE"""),"Selesai")</f>
        <v>Selesai</v>
      </c>
      <c r="F58" s="42" t="str">
        <f>IFERROR(__xludf.DUMMYFUNCTION("""COMPUTED_VALUE"""),"Senin, 06/07/2026 s/d Senin, 06/07/2026")</f>
        <v>Senin, 06/07/2026 s/d Senin, 06/07/2026</v>
      </c>
      <c r="G58" s="41">
        <f>IFERROR(__xludf.DUMMYFUNCTION("""COMPUTED_VALUE"""),11.0)</f>
        <v>11</v>
      </c>
      <c r="H58" s="42" t="str">
        <f>IFERROR(__xludf.DUMMYFUNCTION("""COMPUTED_VALUE"""),"08.00 s/d 16.00")</f>
        <v>08.00 s/d 16.00</v>
      </c>
      <c r="I58" s="42"/>
      <c r="J58" s="42"/>
      <c r="K58" s="42"/>
      <c r="L58" s="42"/>
      <c r="M58" s="42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>
      <c r="A59" s="41"/>
      <c r="B59" s="42"/>
      <c r="C59" s="43" t="str">
        <f>IFERROR(__xludf.DUMMYFUNCTION("""COMPUTED_VALUE"""),"Rabu, 08/07/2026")</f>
        <v>Rabu, 08/07/2026</v>
      </c>
      <c r="D59" s="43" t="str">
        <f>IFERROR(__xludf.DUMMYFUNCTION("""COMPUTED_VALUE"""),"Rabu, 08/07/2026")</f>
        <v>Rabu, 08/07/2026</v>
      </c>
      <c r="E59" s="42" t="str">
        <f>IFERROR(__xludf.DUMMYFUNCTION("""COMPUTED_VALUE"""),"Selesai")</f>
        <v>Selesai</v>
      </c>
      <c r="F59" s="42" t="str">
        <f>IFERROR(__xludf.DUMMYFUNCTION("""COMPUTED_VALUE"""),"Rabu, 08/07/2026 s/d Rabu, 08/07/2026")</f>
        <v>Rabu, 08/07/2026 s/d Rabu, 08/07/2026</v>
      </c>
      <c r="G59" s="41">
        <f>IFERROR(__xludf.DUMMYFUNCTION("""COMPUTED_VALUE"""),12.0)</f>
        <v>12</v>
      </c>
      <c r="H59" s="42" t="str">
        <f>IFERROR(__xludf.DUMMYFUNCTION("""COMPUTED_VALUE"""),"08.00 s/d 16.00")</f>
        <v>08.00 s/d 16.00</v>
      </c>
      <c r="I59" s="42"/>
      <c r="J59" s="42"/>
      <c r="K59" s="42"/>
      <c r="L59" s="42"/>
      <c r="M59" s="42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>
      <c r="A60" s="41"/>
      <c r="B60" s="42"/>
      <c r="C60" s="43" t="str">
        <f>IFERROR(__xludf.DUMMYFUNCTION("""COMPUTED_VALUE"""),"Kamis, 09/07/2026")</f>
        <v>Kamis, 09/07/2026</v>
      </c>
      <c r="D60" s="43" t="str">
        <f>IFERROR(__xludf.DUMMYFUNCTION("""COMPUTED_VALUE"""),"Kamis, 09/07/2026")</f>
        <v>Kamis, 09/07/2026</v>
      </c>
      <c r="E60" s="42" t="str">
        <f>IFERROR(__xludf.DUMMYFUNCTION("""COMPUTED_VALUE"""),"Selesai")</f>
        <v>Selesai</v>
      </c>
      <c r="F60" s="42" t="str">
        <f>IFERROR(__xludf.DUMMYFUNCTION("""COMPUTED_VALUE"""),"Kamis, 09/07/2026 s/d Kamis, 09/07/2026")</f>
        <v>Kamis, 09/07/2026 s/d Kamis, 09/07/2026</v>
      </c>
      <c r="G60" s="41">
        <f>IFERROR(__xludf.DUMMYFUNCTION("""COMPUTED_VALUE"""),13.0)</f>
        <v>13</v>
      </c>
      <c r="H60" s="42" t="str">
        <f>IFERROR(__xludf.DUMMYFUNCTION("""COMPUTED_VALUE"""),"08.00 s/d 16.00")</f>
        <v>08.00 s/d 16.00</v>
      </c>
      <c r="I60" s="42"/>
      <c r="J60" s="42"/>
      <c r="K60" s="42"/>
      <c r="L60" s="42"/>
      <c r="M60" s="42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>
      <c r="A61" s="41"/>
      <c r="B61" s="42"/>
      <c r="C61" s="43" t="str">
        <f>IFERROR(__xludf.DUMMYFUNCTION("""COMPUTED_VALUE"""),"Sabtu, 11/07/2026")</f>
        <v>Sabtu, 11/07/2026</v>
      </c>
      <c r="D61" s="43" t="str">
        <f>IFERROR(__xludf.DUMMYFUNCTION("""COMPUTED_VALUE"""),"Sabtu, 11/07/2026")</f>
        <v>Sabtu, 11/07/2026</v>
      </c>
      <c r="E61" s="42" t="str">
        <f>IFERROR(__xludf.DUMMYFUNCTION("""COMPUTED_VALUE"""),"Selesai")</f>
        <v>Selesai</v>
      </c>
      <c r="F61" s="42" t="str">
        <f>IFERROR(__xludf.DUMMYFUNCTION("""COMPUTED_VALUE"""),"Sabtu, 11/07/2026 s/d Sabtu, 11/07/2026")</f>
        <v>Sabtu, 11/07/2026 s/d Sabtu, 11/07/2026</v>
      </c>
      <c r="G61" s="41">
        <f>IFERROR(__xludf.DUMMYFUNCTION("""COMPUTED_VALUE"""),14.0)</f>
        <v>14</v>
      </c>
      <c r="H61" s="42" t="str">
        <f>IFERROR(__xludf.DUMMYFUNCTION("""COMPUTED_VALUE"""),"08.00 s/d 16.00")</f>
        <v>08.00 s/d 16.00</v>
      </c>
      <c r="I61" s="42"/>
      <c r="J61" s="42"/>
      <c r="K61" s="42"/>
      <c r="L61" s="42"/>
      <c r="M61" s="42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>
      <c r="A62" s="41"/>
      <c r="B62" s="42"/>
      <c r="C62" s="43" t="str">
        <f>IFERROR(__xludf.DUMMYFUNCTION("""COMPUTED_VALUE"""),"Selasa, 14/07/2026")</f>
        <v>Selasa, 14/07/2026</v>
      </c>
      <c r="D62" s="43" t="str">
        <f>IFERROR(__xludf.DUMMYFUNCTION("""COMPUTED_VALUE"""),"Selasa, 14/07/2026")</f>
        <v>Selasa, 14/07/2026</v>
      </c>
      <c r="E62" s="42" t="str">
        <f>IFERROR(__xludf.DUMMYFUNCTION("""COMPUTED_VALUE"""),"Selesai")</f>
        <v>Selesai</v>
      </c>
      <c r="F62" s="42" t="str">
        <f>IFERROR(__xludf.DUMMYFUNCTION("""COMPUTED_VALUE"""),"Selasa, 14/07/2026 s/d Selasa, 14/07/2026")</f>
        <v>Selasa, 14/07/2026 s/d Selasa, 14/07/2026</v>
      </c>
      <c r="G62" s="41">
        <f>IFERROR(__xludf.DUMMYFUNCTION("""COMPUTED_VALUE"""),15.0)</f>
        <v>15</v>
      </c>
      <c r="H62" s="42" t="str">
        <f>IFERROR(__xludf.DUMMYFUNCTION("""COMPUTED_VALUE"""),"08.00 s/d 16.00")</f>
        <v>08.00 s/d 16.00</v>
      </c>
      <c r="I62" s="42"/>
      <c r="J62" s="42"/>
      <c r="K62" s="42"/>
      <c r="L62" s="42"/>
      <c r="M62" s="42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>
      <c r="A63" s="44"/>
      <c r="B63" s="45"/>
      <c r="C63" s="46" t="str">
        <f>IFERROR(__xludf.DUMMYFUNCTION("""COMPUTED_VALUE"""),"Rabu, 15/07/2026")</f>
        <v>Rabu, 15/07/2026</v>
      </c>
      <c r="D63" s="46" t="str">
        <f>IFERROR(__xludf.DUMMYFUNCTION("""COMPUTED_VALUE"""),"Rabu, 15/07/2026")</f>
        <v>Rabu, 15/07/2026</v>
      </c>
      <c r="E63" s="45" t="str">
        <f>IFERROR(__xludf.DUMMYFUNCTION("""COMPUTED_VALUE"""),"Selesai")</f>
        <v>Selesai</v>
      </c>
      <c r="F63" s="45" t="str">
        <f>IFERROR(__xludf.DUMMYFUNCTION("""COMPUTED_VALUE"""),"Rabu, 15/07/2026 s/d Rabu, 15/07/2026")</f>
        <v>Rabu, 15/07/2026 s/d Rabu, 15/07/2026</v>
      </c>
      <c r="G63" s="44">
        <f>IFERROR(__xludf.DUMMYFUNCTION("""COMPUTED_VALUE"""),16.0)</f>
        <v>16</v>
      </c>
      <c r="H63" s="45" t="str">
        <f>IFERROR(__xludf.DUMMYFUNCTION("""COMPUTED_VALUE"""),"08.00 s/d 16.00")</f>
        <v>08.00 s/d 16.00</v>
      </c>
      <c r="I63" s="45"/>
      <c r="J63" s="45"/>
      <c r="K63" s="45"/>
      <c r="L63" s="45"/>
      <c r="M63" s="45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hidden="1">
      <c r="A64" s="42"/>
      <c r="B64" s="42"/>
      <c r="C64" s="42"/>
      <c r="D64" s="42"/>
      <c r="E64" s="42"/>
      <c r="F64" s="42" t="str">
        <f>IFERROR(__xludf.DUMMYFUNCTION("""COMPUTED_VALUE"""),"")</f>
        <v/>
      </c>
      <c r="G64" s="41"/>
      <c r="H64" s="42"/>
      <c r="I64" s="42"/>
      <c r="J64" s="42"/>
      <c r="K64" s="42"/>
      <c r="L64" s="42"/>
      <c r="M64" s="42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>
      <c r="A65" s="37">
        <f>IFERROR(__xludf.DUMMYFUNCTION("""COMPUTED_VALUE"""),6.0)</f>
        <v>6</v>
      </c>
      <c r="B65" s="35" t="str">
        <f>IFERROR(__xludf.DUMMYFUNCTION("""COMPUTED_VALUE"""),"Peningkatan Jalan Ruas Jalan Karanggondang - Pagerpelah")</f>
        <v>Peningkatan Jalan Ruas Jalan Karanggondang - Pagerpelah</v>
      </c>
      <c r="C65" s="36" t="str">
        <f>IFERROR(__xludf.DUMMYFUNCTION("""COMPUTED_VALUE"""),"Selasa, 16/06/2026")</f>
        <v>Selasa, 16/06/2026</v>
      </c>
      <c r="D65" s="36" t="str">
        <f>IFERROR(__xludf.DUMMYFUNCTION("""COMPUTED_VALUE"""),"Selasa, 16/06/2026")</f>
        <v>Selasa, 16/06/2026</v>
      </c>
      <c r="E65" s="35" t="str">
        <f>IFERROR(__xludf.DUMMYFUNCTION("""COMPUTED_VALUE"""),"Selesai")</f>
        <v>Selesai</v>
      </c>
      <c r="F65" s="35" t="str">
        <f>IFERROR(__xludf.DUMMYFUNCTION("""COMPUTED_VALUE"""),"Selasa, 16/06/2026 s/d Selasa, 16/06/2026")</f>
        <v>Selasa, 16/06/2026 s/d Selasa, 16/06/2026</v>
      </c>
      <c r="G65" s="37">
        <f>IFERROR(__xludf.DUMMYFUNCTION("""COMPUTED_VALUE"""),1.0)</f>
        <v>1</v>
      </c>
      <c r="H65" s="35" t="str">
        <f>IFERROR(__xludf.DUMMYFUNCTION("""COMPUTED_VALUE"""),"08.00 s/d 16.00")</f>
        <v>08.00 s/d 16.00</v>
      </c>
      <c r="I65" s="35" t="str">
        <f>IFERROR(__xludf.DUMMYFUNCTION("""COMPUTED_VALUE"""),"0+000 s/d 0+400")</f>
        <v>0+000 s/d 0+400</v>
      </c>
      <c r="J65" s="35" t="str">
        <f>IFERROR(__xludf.DUMMYFUNCTION("""COMPUTED_VALUE"""),"400 m")</f>
        <v>400 m</v>
      </c>
      <c r="K65" s="35" t="str">
        <f>IFERROR(__xludf.DUMMYFUNCTION("""COMPUTED_VALUE"""),"3,5 m")</f>
        <v>3,5 m</v>
      </c>
      <c r="L65" s="39" t="str">
        <f>IFERROR(__xludf.DUMMYFUNCTION("""COMPUTED_VALUE"""),"https://maps.app.goo.gl/PjPgix6njsyVgidH6")</f>
        <v>https://maps.app.goo.gl/PjPgix6njsyVgidH6</v>
      </c>
      <c r="M65" s="35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>
      <c r="A66" s="41"/>
      <c r="B66" s="42"/>
      <c r="C66" s="43" t="str">
        <f>IFERROR(__xludf.DUMMYFUNCTION("""COMPUTED_VALUE"""),"Rabu, 17/06/2026")</f>
        <v>Rabu, 17/06/2026</v>
      </c>
      <c r="D66" s="43" t="str">
        <f>IFERROR(__xludf.DUMMYFUNCTION("""COMPUTED_VALUE"""),"Rabu, 17/06/2026")</f>
        <v>Rabu, 17/06/2026</v>
      </c>
      <c r="E66" s="42" t="str">
        <f>IFERROR(__xludf.DUMMYFUNCTION("""COMPUTED_VALUE"""),"Selesai")</f>
        <v>Selesai</v>
      </c>
      <c r="F66" s="42" t="str">
        <f>IFERROR(__xludf.DUMMYFUNCTION("""COMPUTED_VALUE"""),"Rabu, 17/06/2026 s/d Rabu, 17/06/2026")</f>
        <v>Rabu, 17/06/2026 s/d Rabu, 17/06/2026</v>
      </c>
      <c r="G66" s="41">
        <f>IFERROR(__xludf.DUMMYFUNCTION("""COMPUTED_VALUE"""),2.0)</f>
        <v>2</v>
      </c>
      <c r="H66" s="42" t="str">
        <f>IFERROR(__xludf.DUMMYFUNCTION("""COMPUTED_VALUE"""),"08.00 s/d 16.00")</f>
        <v>08.00 s/d 16.00</v>
      </c>
      <c r="I66" s="42" t="str">
        <f>IFERROR(__xludf.DUMMYFUNCTION("""COMPUTED_VALUE"""),"0+400 s/d 0+800")</f>
        <v>0+400 s/d 0+800</v>
      </c>
      <c r="J66" s="42" t="str">
        <f>IFERROR(__xludf.DUMMYFUNCTION("""COMPUTED_VALUE"""),"400 m")</f>
        <v>400 m</v>
      </c>
      <c r="K66" s="42" t="str">
        <f>IFERROR(__xludf.DUMMYFUNCTION("""COMPUTED_VALUE"""),"3,5 m")</f>
        <v>3,5 m</v>
      </c>
      <c r="L66" s="42"/>
      <c r="M66" s="42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>
      <c r="A67" s="41"/>
      <c r="B67" s="42"/>
      <c r="C67" s="43" t="str">
        <f>IFERROR(__xludf.DUMMYFUNCTION("""COMPUTED_VALUE"""),"Kamis, 18/06/2026")</f>
        <v>Kamis, 18/06/2026</v>
      </c>
      <c r="D67" s="43" t="str">
        <f>IFERROR(__xludf.DUMMYFUNCTION("""COMPUTED_VALUE"""),"Kamis, 18/06/2026")</f>
        <v>Kamis, 18/06/2026</v>
      </c>
      <c r="E67" s="42" t="str">
        <f>IFERROR(__xludf.DUMMYFUNCTION("""COMPUTED_VALUE"""),"Selesai")</f>
        <v>Selesai</v>
      </c>
      <c r="F67" s="42" t="str">
        <f>IFERROR(__xludf.DUMMYFUNCTION("""COMPUTED_VALUE"""),"Kamis, 18/06/2026 s/d Kamis, 18/06/2026")</f>
        <v>Kamis, 18/06/2026 s/d Kamis, 18/06/2026</v>
      </c>
      <c r="G67" s="41">
        <f>IFERROR(__xludf.DUMMYFUNCTION("""COMPUTED_VALUE"""),3.0)</f>
        <v>3</v>
      </c>
      <c r="H67" s="42" t="str">
        <f>IFERROR(__xludf.DUMMYFUNCTION("""COMPUTED_VALUE"""),"08.00 s/d 16.00")</f>
        <v>08.00 s/d 16.00</v>
      </c>
      <c r="I67" s="42"/>
      <c r="J67" s="42"/>
      <c r="K67" s="42"/>
      <c r="L67" s="42"/>
      <c r="M67" s="42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>
      <c r="A68" s="41"/>
      <c r="B68" s="42"/>
      <c r="C68" s="43" t="str">
        <f>IFERROR(__xludf.DUMMYFUNCTION("""COMPUTED_VALUE"""),"Jumat, 19/06/2026")</f>
        <v>Jumat, 19/06/2026</v>
      </c>
      <c r="D68" s="43" t="str">
        <f>IFERROR(__xludf.DUMMYFUNCTION("""COMPUTED_VALUE"""),"Jumat, 19/06/2026")</f>
        <v>Jumat, 19/06/2026</v>
      </c>
      <c r="E68" s="42" t="str">
        <f>IFERROR(__xludf.DUMMYFUNCTION("""COMPUTED_VALUE"""),"Selesai")</f>
        <v>Selesai</v>
      </c>
      <c r="F68" s="42" t="str">
        <f>IFERROR(__xludf.DUMMYFUNCTION("""COMPUTED_VALUE"""),"Jumat, 19/06/2026 s/d Jumat, 19/06/2026")</f>
        <v>Jumat, 19/06/2026 s/d Jumat, 19/06/2026</v>
      </c>
      <c r="G68" s="41">
        <f>IFERROR(__xludf.DUMMYFUNCTION("""COMPUTED_VALUE"""),4.0)</f>
        <v>4</v>
      </c>
      <c r="H68" s="42" t="str">
        <f>IFERROR(__xludf.DUMMYFUNCTION("""COMPUTED_VALUE"""),"08.00 s/d 16.00")</f>
        <v>08.00 s/d 16.00</v>
      </c>
      <c r="I68" s="42"/>
      <c r="J68" s="42"/>
      <c r="K68" s="42"/>
      <c r="L68" s="42"/>
      <c r="M68" s="42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>
      <c r="A69" s="41"/>
      <c r="B69" s="42"/>
      <c r="C69" s="43" t="str">
        <f>IFERROR(__xludf.DUMMYFUNCTION("""COMPUTED_VALUE"""),"Minggu, 21/06/2026")</f>
        <v>Minggu, 21/06/2026</v>
      </c>
      <c r="D69" s="43" t="str">
        <f>IFERROR(__xludf.DUMMYFUNCTION("""COMPUTED_VALUE"""),"Minggu, 21/06/2026")</f>
        <v>Minggu, 21/06/2026</v>
      </c>
      <c r="E69" s="42" t="str">
        <f>IFERROR(__xludf.DUMMYFUNCTION("""COMPUTED_VALUE"""),"Selesai")</f>
        <v>Selesai</v>
      </c>
      <c r="F69" s="42" t="str">
        <f>IFERROR(__xludf.DUMMYFUNCTION("""COMPUTED_VALUE"""),"Minggu, 21/06/2026 s/d Minggu, 21/06/2026")</f>
        <v>Minggu, 21/06/2026 s/d Minggu, 21/06/2026</v>
      </c>
      <c r="G69" s="41">
        <f>IFERROR(__xludf.DUMMYFUNCTION("""COMPUTED_VALUE"""),5.0)</f>
        <v>5</v>
      </c>
      <c r="H69" s="42" t="str">
        <f>IFERROR(__xludf.DUMMYFUNCTION("""COMPUTED_VALUE"""),"08.00 s/d 16.00")</f>
        <v>08.00 s/d 16.00</v>
      </c>
      <c r="I69" s="42"/>
      <c r="J69" s="42"/>
      <c r="K69" s="42"/>
      <c r="L69" s="42"/>
      <c r="M69" s="42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>
      <c r="A70" s="41"/>
      <c r="B70" s="42"/>
      <c r="C70" s="43" t="str">
        <f>IFERROR(__xludf.DUMMYFUNCTION("""COMPUTED_VALUE"""),"Kamis, 25/06/2026")</f>
        <v>Kamis, 25/06/2026</v>
      </c>
      <c r="D70" s="43" t="str">
        <f>IFERROR(__xludf.DUMMYFUNCTION("""COMPUTED_VALUE"""),"Kamis, 25/06/2026")</f>
        <v>Kamis, 25/06/2026</v>
      </c>
      <c r="E70" s="42" t="str">
        <f>IFERROR(__xludf.DUMMYFUNCTION("""COMPUTED_VALUE"""),"Selesai")</f>
        <v>Selesai</v>
      </c>
      <c r="F70" s="42" t="str">
        <f>IFERROR(__xludf.DUMMYFUNCTION("""COMPUTED_VALUE"""),"Kamis, 25/06/2026 s/d Kamis, 25/06/2026")</f>
        <v>Kamis, 25/06/2026 s/d Kamis, 25/06/2026</v>
      </c>
      <c r="G70" s="41">
        <f>IFERROR(__xludf.DUMMYFUNCTION("""COMPUTED_VALUE"""),6.0)</f>
        <v>6</v>
      </c>
      <c r="H70" s="42" t="str">
        <f>IFERROR(__xludf.DUMMYFUNCTION("""COMPUTED_VALUE"""),"08.00 s/d 16.00")</f>
        <v>08.00 s/d 16.00</v>
      </c>
      <c r="I70" s="42"/>
      <c r="J70" s="42"/>
      <c r="K70" s="42"/>
      <c r="L70" s="42"/>
      <c r="M70" s="42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>
      <c r="A71" s="41"/>
      <c r="B71" s="42"/>
      <c r="C71" s="43" t="str">
        <f>IFERROR(__xludf.DUMMYFUNCTION("""COMPUTED_VALUE"""),"Jumat, 26/06/2026")</f>
        <v>Jumat, 26/06/2026</v>
      </c>
      <c r="D71" s="43" t="str">
        <f>IFERROR(__xludf.DUMMYFUNCTION("""COMPUTED_VALUE"""),"Jumat, 26/06/2026")</f>
        <v>Jumat, 26/06/2026</v>
      </c>
      <c r="E71" s="42" t="str">
        <f>IFERROR(__xludf.DUMMYFUNCTION("""COMPUTED_VALUE"""),"Selesai")</f>
        <v>Selesai</v>
      </c>
      <c r="F71" s="42" t="str">
        <f>IFERROR(__xludf.DUMMYFUNCTION("""COMPUTED_VALUE"""),"Jumat, 26/06/2026 s/d Jumat, 26/06/2026")</f>
        <v>Jumat, 26/06/2026 s/d Jumat, 26/06/2026</v>
      </c>
      <c r="G71" s="41">
        <f>IFERROR(__xludf.DUMMYFUNCTION("""COMPUTED_VALUE"""),7.0)</f>
        <v>7</v>
      </c>
      <c r="H71" s="42" t="str">
        <f>IFERROR(__xludf.DUMMYFUNCTION("""COMPUTED_VALUE"""),"08.00 s/d 16.00")</f>
        <v>08.00 s/d 16.00</v>
      </c>
      <c r="I71" s="42"/>
      <c r="J71" s="42"/>
      <c r="K71" s="42"/>
      <c r="L71" s="42"/>
      <c r="M71" s="42"/>
      <c r="N71" s="50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>
      <c r="A72" s="41"/>
      <c r="B72" s="42"/>
      <c r="C72" s="43" t="str">
        <f>IFERROR(__xludf.DUMMYFUNCTION("""COMPUTED_VALUE"""),"Sabtu, 27/06/2026")</f>
        <v>Sabtu, 27/06/2026</v>
      </c>
      <c r="D72" s="43" t="str">
        <f>IFERROR(__xludf.DUMMYFUNCTION("""COMPUTED_VALUE"""),"Sabtu, 27/06/2026")</f>
        <v>Sabtu, 27/06/2026</v>
      </c>
      <c r="E72" s="42" t="str">
        <f>IFERROR(__xludf.DUMMYFUNCTION("""COMPUTED_VALUE"""),"Selesai")</f>
        <v>Selesai</v>
      </c>
      <c r="F72" s="42" t="str">
        <f>IFERROR(__xludf.DUMMYFUNCTION("""COMPUTED_VALUE"""),"Sabtu, 27/06/2026 s/d Sabtu, 27/06/2026")</f>
        <v>Sabtu, 27/06/2026 s/d Sabtu, 27/06/2026</v>
      </c>
      <c r="G72" s="41">
        <f>IFERROR(__xludf.DUMMYFUNCTION("""COMPUTED_VALUE"""),8.0)</f>
        <v>8</v>
      </c>
      <c r="H72" s="42" t="str">
        <f>IFERROR(__xludf.DUMMYFUNCTION("""COMPUTED_VALUE"""),"08.00 s/d 16.00")</f>
        <v>08.00 s/d 16.00</v>
      </c>
      <c r="I72" s="42"/>
      <c r="J72" s="42"/>
      <c r="K72" s="42"/>
      <c r="L72" s="42"/>
      <c r="M72" s="51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>
      <c r="A73" s="41"/>
      <c r="B73" s="42"/>
      <c r="C73" s="43" t="str">
        <f>IFERROR(__xludf.DUMMYFUNCTION("""COMPUTED_VALUE"""),"Sabtu, 25/07/2026")</f>
        <v>Sabtu, 25/07/2026</v>
      </c>
      <c r="D73" s="43" t="str">
        <f>IFERROR(__xludf.DUMMYFUNCTION("""COMPUTED_VALUE"""),"Sabtu, 25/07/2026")</f>
        <v>Sabtu, 25/07/2026</v>
      </c>
      <c r="E73" s="42" t="str">
        <f>IFERROR(__xludf.DUMMYFUNCTION("""COMPUTED_VALUE"""),"Selesai")</f>
        <v>Selesai</v>
      </c>
      <c r="F73" s="42" t="str">
        <f>IFERROR(__xludf.DUMMYFUNCTION("""COMPUTED_VALUE"""),"Sabtu, 25/07/2026 s/d Sabtu, 25/07/2026")</f>
        <v>Sabtu, 25/07/2026 s/d Sabtu, 25/07/2026</v>
      </c>
      <c r="G73" s="41">
        <f>IFERROR(__xludf.DUMMYFUNCTION("""COMPUTED_VALUE"""),9.0)</f>
        <v>9</v>
      </c>
      <c r="H73" s="42" t="str">
        <f>IFERROR(__xludf.DUMMYFUNCTION("""COMPUTED_VALUE"""),"08.00 s/d 16.00")</f>
        <v>08.00 s/d 16.00</v>
      </c>
      <c r="I73" s="42"/>
      <c r="J73" s="42"/>
      <c r="K73" s="42"/>
      <c r="L73" s="42"/>
      <c r="M73" s="42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>
      <c r="A74" s="37">
        <f>IFERROR(__xludf.DUMMYFUNCTION("""COMPUTED_VALUE"""),7.0)</f>
        <v>7</v>
      </c>
      <c r="B74" s="35" t="str">
        <f>IFERROR(__xludf.DUMMYFUNCTION("""COMPUTED_VALUE"""),"Peningkatan Jalan Ruas Jalan Cendana - Pringamba")</f>
        <v>Peningkatan Jalan Ruas Jalan Cendana - Pringamba</v>
      </c>
      <c r="C74" s="36" t="str">
        <f>IFERROR(__xludf.DUMMYFUNCTION("""COMPUTED_VALUE"""),"Kamis, 18/06/2026")</f>
        <v>Kamis, 18/06/2026</v>
      </c>
      <c r="D74" s="36" t="str">
        <f>IFERROR(__xludf.DUMMYFUNCTION("""COMPUTED_VALUE"""),"Kamis, 18/06/2026")</f>
        <v>Kamis, 18/06/2026</v>
      </c>
      <c r="E74" s="35" t="str">
        <f>IFERROR(__xludf.DUMMYFUNCTION("""COMPUTED_VALUE"""),"Selesai")</f>
        <v>Selesai</v>
      </c>
      <c r="F74" s="35" t="str">
        <f>IFERROR(__xludf.DUMMYFUNCTION("""COMPUTED_VALUE"""),"Kamis, 18/06/2026 s/d Kamis, 18/06/2026")</f>
        <v>Kamis, 18/06/2026 s/d Kamis, 18/06/2026</v>
      </c>
      <c r="G74" s="37">
        <f>IFERROR(__xludf.DUMMYFUNCTION("""COMPUTED_VALUE"""),1.0)</f>
        <v>1</v>
      </c>
      <c r="H74" s="35" t="str">
        <f>IFERROR(__xludf.DUMMYFUNCTION("""COMPUTED_VALUE"""),"12.00 s/d 14.00")</f>
        <v>12.00 s/d 14.00</v>
      </c>
      <c r="I74" s="35" t="str">
        <f>IFERROR(__xludf.DUMMYFUNCTION("""COMPUTED_VALUE"""),"0+000 s/d 0+400")</f>
        <v>0+000 s/d 0+400</v>
      </c>
      <c r="J74" s="35"/>
      <c r="K74" s="35"/>
      <c r="L74" s="39" t="str">
        <f>IFERROR(__xludf.DUMMYFUNCTION("""COMPUTED_VALUE"""),"https://maps.app.goo.gl/2ceEQunZCBBRTCdM8")</f>
        <v>https://maps.app.goo.gl/2ceEQunZCBBRTCdM8</v>
      </c>
      <c r="M74" s="35" t="str">
        <f>IFERROR(__xludf.DUMMYFUNCTION("""COMPUTED_VALUE"""),"Trial Compaction")</f>
        <v>Trial Compaction</v>
      </c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>
      <c r="A75" s="41"/>
      <c r="B75" s="42"/>
      <c r="C75" s="43" t="str">
        <f>IFERROR(__xludf.DUMMYFUNCTION("""COMPUTED_VALUE"""),"Minggu, 28/06/2026")</f>
        <v>Minggu, 28/06/2026</v>
      </c>
      <c r="D75" s="43" t="str">
        <f>IFERROR(__xludf.DUMMYFUNCTION("""COMPUTED_VALUE"""),"Minggu, 28/06/2026")</f>
        <v>Minggu, 28/06/2026</v>
      </c>
      <c r="E75" s="42" t="str">
        <f>IFERROR(__xludf.DUMMYFUNCTION("""COMPUTED_VALUE"""),"Selesai")</f>
        <v>Selesai</v>
      </c>
      <c r="F75" s="42" t="str">
        <f>IFERROR(__xludf.DUMMYFUNCTION("""COMPUTED_VALUE"""),"Minggu, 28/06/2026 s/d Minggu, 28/06/2026")</f>
        <v>Minggu, 28/06/2026 s/d Minggu, 28/06/2026</v>
      </c>
      <c r="G75" s="41">
        <f>IFERROR(__xludf.DUMMYFUNCTION("""COMPUTED_VALUE"""),2.0)</f>
        <v>2</v>
      </c>
      <c r="H75" s="42" t="str">
        <f>IFERROR(__xludf.DUMMYFUNCTION("""COMPUTED_VALUE"""),"12.00 s/d 14.00")</f>
        <v>12.00 s/d 14.00</v>
      </c>
      <c r="I75" s="42"/>
      <c r="J75" s="42"/>
      <c r="K75" s="42"/>
      <c r="L75" s="42"/>
      <c r="M75" s="42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>
      <c r="A76" s="41"/>
      <c r="B76" s="42"/>
      <c r="C76" s="43" t="str">
        <f>IFERROR(__xludf.DUMMYFUNCTION("""COMPUTED_VALUE"""),"Senin, 29/06/2026")</f>
        <v>Senin, 29/06/2026</v>
      </c>
      <c r="D76" s="43" t="str">
        <f>IFERROR(__xludf.DUMMYFUNCTION("""COMPUTED_VALUE"""),"Senin, 29/06/2026")</f>
        <v>Senin, 29/06/2026</v>
      </c>
      <c r="E76" s="42" t="str">
        <f>IFERROR(__xludf.DUMMYFUNCTION("""COMPUTED_VALUE"""),"Selesai")</f>
        <v>Selesai</v>
      </c>
      <c r="F76" s="42" t="str">
        <f>IFERROR(__xludf.DUMMYFUNCTION("""COMPUTED_VALUE"""),"Senin, 29/06/2026 s/d Senin, 29/06/2026")</f>
        <v>Senin, 29/06/2026 s/d Senin, 29/06/2026</v>
      </c>
      <c r="G76" s="41">
        <f>IFERROR(__xludf.DUMMYFUNCTION("""COMPUTED_VALUE"""),3.0)</f>
        <v>3</v>
      </c>
      <c r="H76" s="42" t="str">
        <f>IFERROR(__xludf.DUMMYFUNCTION("""COMPUTED_VALUE"""),"12.00 s/d 14.00")</f>
        <v>12.00 s/d 14.00</v>
      </c>
      <c r="I76" s="42"/>
      <c r="J76" s="42"/>
      <c r="K76" s="42"/>
      <c r="L76" s="42"/>
      <c r="M76" s="42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>
      <c r="A77" s="41"/>
      <c r="B77" s="42"/>
      <c r="C77" s="43" t="str">
        <f>IFERROR(__xludf.DUMMYFUNCTION("""COMPUTED_VALUE"""),"Selasa, 30/06/2026")</f>
        <v>Selasa, 30/06/2026</v>
      </c>
      <c r="D77" s="43" t="str">
        <f>IFERROR(__xludf.DUMMYFUNCTION("""COMPUTED_VALUE"""),"Selasa, 30/06/2026")</f>
        <v>Selasa, 30/06/2026</v>
      </c>
      <c r="E77" s="42" t="str">
        <f>IFERROR(__xludf.DUMMYFUNCTION("""COMPUTED_VALUE"""),"Selesai")</f>
        <v>Selesai</v>
      </c>
      <c r="F77" s="42" t="str">
        <f>IFERROR(__xludf.DUMMYFUNCTION("""COMPUTED_VALUE"""),"Selasa, 30/06/2026 s/d Selasa, 30/06/2026")</f>
        <v>Selasa, 30/06/2026 s/d Selasa, 30/06/2026</v>
      </c>
      <c r="G77" s="41">
        <f>IFERROR(__xludf.DUMMYFUNCTION("""COMPUTED_VALUE"""),4.0)</f>
        <v>4</v>
      </c>
      <c r="H77" s="42" t="str">
        <f>IFERROR(__xludf.DUMMYFUNCTION("""COMPUTED_VALUE"""),"12.00 s/d 14.00")</f>
        <v>12.00 s/d 14.00</v>
      </c>
      <c r="I77" s="42"/>
      <c r="J77" s="42"/>
      <c r="K77" s="42"/>
      <c r="L77" s="42"/>
      <c r="M77" s="42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>
      <c r="A78" s="41"/>
      <c r="B78" s="42"/>
      <c r="C78" s="43" t="str">
        <f>IFERROR(__xludf.DUMMYFUNCTION("""COMPUTED_VALUE"""),"Jumat, 03/07/2026")</f>
        <v>Jumat, 03/07/2026</v>
      </c>
      <c r="D78" s="43" t="str">
        <f>IFERROR(__xludf.DUMMYFUNCTION("""COMPUTED_VALUE"""),"Jumat, 03/07/2026")</f>
        <v>Jumat, 03/07/2026</v>
      </c>
      <c r="E78" s="42" t="str">
        <f>IFERROR(__xludf.DUMMYFUNCTION("""COMPUTED_VALUE"""),"Selesai")</f>
        <v>Selesai</v>
      </c>
      <c r="F78" s="42" t="str">
        <f>IFERROR(__xludf.DUMMYFUNCTION("""COMPUTED_VALUE"""),"Jumat, 03/07/2026 s/d Jumat, 03/07/2026")</f>
        <v>Jumat, 03/07/2026 s/d Jumat, 03/07/2026</v>
      </c>
      <c r="G78" s="41">
        <f>IFERROR(__xludf.DUMMYFUNCTION("""COMPUTED_VALUE"""),5.0)</f>
        <v>5</v>
      </c>
      <c r="H78" s="42" t="str">
        <f>IFERROR(__xludf.DUMMYFUNCTION("""COMPUTED_VALUE"""),"12.00 s/d 14.00")</f>
        <v>12.00 s/d 14.00</v>
      </c>
      <c r="I78" s="42"/>
      <c r="J78" s="42"/>
      <c r="K78" s="42"/>
      <c r="L78" s="42"/>
      <c r="M78" s="42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>
      <c r="A79" s="37">
        <f>IFERROR(__xludf.DUMMYFUNCTION("""COMPUTED_VALUE"""),8.0)</f>
        <v>8</v>
      </c>
      <c r="B79" s="35" t="str">
        <f>IFERROR(__xludf.DUMMYFUNCTION("""COMPUTED_VALUE"""),"Peningkatan Jalan Ruas Jalan Merden - Lawangawu")</f>
        <v>Peningkatan Jalan Ruas Jalan Merden - Lawangawu</v>
      </c>
      <c r="C79" s="36" t="str">
        <f>IFERROR(__xludf.DUMMYFUNCTION("""COMPUTED_VALUE"""),"Senin, 29/06/2026")</f>
        <v>Senin, 29/06/2026</v>
      </c>
      <c r="D79" s="36" t="str">
        <f>IFERROR(__xludf.DUMMYFUNCTION("""COMPUTED_VALUE"""),"Senin, 29/06/2026")</f>
        <v>Senin, 29/06/2026</v>
      </c>
      <c r="E79" s="35" t="str">
        <f>IFERROR(__xludf.DUMMYFUNCTION("""COMPUTED_VALUE"""),"Selesai")</f>
        <v>Selesai</v>
      </c>
      <c r="F79" s="35" t="str">
        <f>IFERROR(__xludf.DUMMYFUNCTION("""COMPUTED_VALUE"""),"Senin, 29/06/2026 s/d Senin, 29/06/2026")</f>
        <v>Senin, 29/06/2026 s/d Senin, 29/06/2026</v>
      </c>
      <c r="G79" s="37">
        <f>IFERROR(__xludf.DUMMYFUNCTION("""COMPUTED_VALUE"""),1.0)</f>
        <v>1</v>
      </c>
      <c r="H79" s="35" t="str">
        <f>IFERROR(__xludf.DUMMYFUNCTION("""COMPUTED_VALUE"""),"19.00 s/d 22.00")</f>
        <v>19.00 s/d 22.00</v>
      </c>
      <c r="I79" s="35"/>
      <c r="J79" s="35"/>
      <c r="K79" s="35"/>
      <c r="L79" s="39" t="str">
        <f>IFERROR(__xludf.DUMMYFUNCTION("""COMPUTED_VALUE"""),"https://maps.app.goo.gl/SVWsDBqzsznUAy616")</f>
        <v>https://maps.app.goo.gl/SVWsDBqzsznUAy616</v>
      </c>
      <c r="M79" s="35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>
      <c r="A80" s="41"/>
      <c r="B80" s="42"/>
      <c r="C80" s="43" t="str">
        <f>IFERROR(__xludf.DUMMYFUNCTION("""COMPUTED_VALUE"""),"Selasa, 30/06/2026")</f>
        <v>Selasa, 30/06/2026</v>
      </c>
      <c r="D80" s="43" t="str">
        <f>IFERROR(__xludf.DUMMYFUNCTION("""COMPUTED_VALUE"""),"Selasa, 30/06/2026")</f>
        <v>Selasa, 30/06/2026</v>
      </c>
      <c r="E80" s="42" t="str">
        <f>IFERROR(__xludf.DUMMYFUNCTION("""COMPUTED_VALUE"""),"Selesai")</f>
        <v>Selesai</v>
      </c>
      <c r="F80" s="42" t="str">
        <f>IFERROR(__xludf.DUMMYFUNCTION("""COMPUTED_VALUE"""),"Selasa, 30/06/2026 s/d Selasa, 30/06/2026")</f>
        <v>Selasa, 30/06/2026 s/d Selasa, 30/06/2026</v>
      </c>
      <c r="G80" s="41">
        <f>IFERROR(__xludf.DUMMYFUNCTION("""COMPUTED_VALUE"""),2.0)</f>
        <v>2</v>
      </c>
      <c r="H80" s="42" t="str">
        <f>IFERROR(__xludf.DUMMYFUNCTION("""COMPUTED_VALUE"""),"08.00 s/d 16.00")</f>
        <v>08.00 s/d 16.00</v>
      </c>
      <c r="I80" s="42"/>
      <c r="J80" s="42"/>
      <c r="K80" s="42"/>
      <c r="L80" s="42"/>
      <c r="M80" s="42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>
      <c r="A81" s="41"/>
      <c r="B81" s="42"/>
      <c r="C81" s="43" t="str">
        <f>IFERROR(__xludf.DUMMYFUNCTION("""COMPUTED_VALUE"""),"Rabu, 01/07/2026")</f>
        <v>Rabu, 01/07/2026</v>
      </c>
      <c r="D81" s="43" t="str">
        <f>IFERROR(__xludf.DUMMYFUNCTION("""COMPUTED_VALUE"""),"Rabu, 01/07/2026")</f>
        <v>Rabu, 01/07/2026</v>
      </c>
      <c r="E81" s="42" t="str">
        <f>IFERROR(__xludf.DUMMYFUNCTION("""COMPUTED_VALUE"""),"Selesai")</f>
        <v>Selesai</v>
      </c>
      <c r="F81" s="42" t="str">
        <f>IFERROR(__xludf.DUMMYFUNCTION("""COMPUTED_VALUE"""),"Rabu, 01/07/2026 s/d Rabu, 01/07/2026")</f>
        <v>Rabu, 01/07/2026 s/d Rabu, 01/07/2026</v>
      </c>
      <c r="G81" s="41">
        <f>IFERROR(__xludf.DUMMYFUNCTION("""COMPUTED_VALUE"""),3.0)</f>
        <v>3</v>
      </c>
      <c r="H81" s="42" t="str">
        <f>IFERROR(__xludf.DUMMYFUNCTION("""COMPUTED_VALUE"""),"08.00 s/d 16.01")</f>
        <v>08.00 s/d 16.01</v>
      </c>
      <c r="I81" s="42"/>
      <c r="J81" s="42"/>
      <c r="K81" s="42"/>
      <c r="L81" s="42"/>
      <c r="M81" s="42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>
      <c r="A82" s="41"/>
      <c r="B82" s="42"/>
      <c r="C82" s="43" t="str">
        <f>IFERROR(__xludf.DUMMYFUNCTION("""COMPUTED_VALUE"""),"Kamis, 02/07/2026")</f>
        <v>Kamis, 02/07/2026</v>
      </c>
      <c r="D82" s="43" t="str">
        <f>IFERROR(__xludf.DUMMYFUNCTION("""COMPUTED_VALUE"""),"Kamis, 02/07/2026")</f>
        <v>Kamis, 02/07/2026</v>
      </c>
      <c r="E82" s="42" t="str">
        <f>IFERROR(__xludf.DUMMYFUNCTION("""COMPUTED_VALUE"""),"Selesai")</f>
        <v>Selesai</v>
      </c>
      <c r="F82" s="42" t="str">
        <f>IFERROR(__xludf.DUMMYFUNCTION("""COMPUTED_VALUE"""),"Kamis, 02/07/2026 s/d Kamis, 02/07/2026")</f>
        <v>Kamis, 02/07/2026 s/d Kamis, 02/07/2026</v>
      </c>
      <c r="G82" s="41">
        <f>IFERROR(__xludf.DUMMYFUNCTION("""COMPUTED_VALUE"""),4.0)</f>
        <v>4</v>
      </c>
      <c r="H82" s="42" t="str">
        <f>IFERROR(__xludf.DUMMYFUNCTION("""COMPUTED_VALUE"""),"08.00 s/d 16.00")</f>
        <v>08.00 s/d 16.00</v>
      </c>
      <c r="I82" s="42"/>
      <c r="J82" s="42"/>
      <c r="K82" s="42"/>
      <c r="L82" s="42"/>
      <c r="M82" s="42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>
      <c r="A83" s="41"/>
      <c r="B83" s="42"/>
      <c r="C83" s="43" t="str">
        <f>IFERROR(__xludf.DUMMYFUNCTION("""COMPUTED_VALUE"""),"Jumat, 03/07/2026")</f>
        <v>Jumat, 03/07/2026</v>
      </c>
      <c r="D83" s="43" t="str">
        <f>IFERROR(__xludf.DUMMYFUNCTION("""COMPUTED_VALUE"""),"Jumat, 03/07/2026")</f>
        <v>Jumat, 03/07/2026</v>
      </c>
      <c r="E83" s="42" t="str">
        <f>IFERROR(__xludf.DUMMYFUNCTION("""COMPUTED_VALUE"""),"Selesai")</f>
        <v>Selesai</v>
      </c>
      <c r="F83" s="42" t="str">
        <f>IFERROR(__xludf.DUMMYFUNCTION("""COMPUTED_VALUE"""),"Jumat, 03/07/2026 s/d Jumat, 03/07/2026")</f>
        <v>Jumat, 03/07/2026 s/d Jumat, 03/07/2026</v>
      </c>
      <c r="G83" s="41">
        <f>IFERROR(__xludf.DUMMYFUNCTION("""COMPUTED_VALUE"""),5.0)</f>
        <v>5</v>
      </c>
      <c r="H83" s="42" t="str">
        <f>IFERROR(__xludf.DUMMYFUNCTION("""COMPUTED_VALUE"""),"08.00 s/d 16.00")</f>
        <v>08.00 s/d 16.00</v>
      </c>
      <c r="I83" s="42"/>
      <c r="J83" s="42"/>
      <c r="K83" s="42"/>
      <c r="L83" s="42"/>
      <c r="M83" s="42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>
      <c r="A84" s="41"/>
      <c r="B84" s="42"/>
      <c r="C84" s="43" t="str">
        <f>IFERROR(__xludf.DUMMYFUNCTION("""COMPUTED_VALUE"""),"Sabtu, 04/07/2026")</f>
        <v>Sabtu, 04/07/2026</v>
      </c>
      <c r="D84" s="43" t="str">
        <f>IFERROR(__xludf.DUMMYFUNCTION("""COMPUTED_VALUE"""),"Sabtu, 04/07/2026")</f>
        <v>Sabtu, 04/07/2026</v>
      </c>
      <c r="E84" s="42" t="str">
        <f>IFERROR(__xludf.DUMMYFUNCTION("""COMPUTED_VALUE"""),"Selesai")</f>
        <v>Selesai</v>
      </c>
      <c r="F84" s="42" t="str">
        <f>IFERROR(__xludf.DUMMYFUNCTION("""COMPUTED_VALUE"""),"Sabtu, 04/07/2026 s/d Sabtu, 04/07/2026")</f>
        <v>Sabtu, 04/07/2026 s/d Sabtu, 04/07/2026</v>
      </c>
      <c r="G84" s="41">
        <f>IFERROR(__xludf.DUMMYFUNCTION("""COMPUTED_VALUE"""),6.0)</f>
        <v>6</v>
      </c>
      <c r="H84" s="42" t="str">
        <f>IFERROR(__xludf.DUMMYFUNCTION("""COMPUTED_VALUE"""),"08.00 s/d 16.00")</f>
        <v>08.00 s/d 16.00</v>
      </c>
      <c r="I84" s="42"/>
      <c r="J84" s="42"/>
      <c r="K84" s="42"/>
      <c r="L84" s="42"/>
      <c r="M84" s="42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>
      <c r="A85" s="41"/>
      <c r="B85" s="42"/>
      <c r="C85" s="43" t="str">
        <f>IFERROR(__xludf.DUMMYFUNCTION("""COMPUTED_VALUE"""),"Minggu, 05/07/2026")</f>
        <v>Minggu, 05/07/2026</v>
      </c>
      <c r="D85" s="43" t="str">
        <f>IFERROR(__xludf.DUMMYFUNCTION("""COMPUTED_VALUE"""),"Minggu, 05/07/2026")</f>
        <v>Minggu, 05/07/2026</v>
      </c>
      <c r="E85" s="42" t="str">
        <f>IFERROR(__xludf.DUMMYFUNCTION("""COMPUTED_VALUE"""),"Selesai")</f>
        <v>Selesai</v>
      </c>
      <c r="F85" s="42" t="str">
        <f>IFERROR(__xludf.DUMMYFUNCTION("""COMPUTED_VALUE"""),"Minggu, 05/07/2026 s/d Minggu, 05/07/2026")</f>
        <v>Minggu, 05/07/2026 s/d Minggu, 05/07/2026</v>
      </c>
      <c r="G85" s="41">
        <f>IFERROR(__xludf.DUMMYFUNCTION("""COMPUTED_VALUE"""),7.0)</f>
        <v>7</v>
      </c>
      <c r="H85" s="42" t="str">
        <f>IFERROR(__xludf.DUMMYFUNCTION("""COMPUTED_VALUE"""),"08.00 s/d 16.00")</f>
        <v>08.00 s/d 16.00</v>
      </c>
      <c r="I85" s="42"/>
      <c r="J85" s="42"/>
      <c r="K85" s="42"/>
      <c r="L85" s="42"/>
      <c r="M85" s="42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>
      <c r="A86" s="41"/>
      <c r="B86" s="42"/>
      <c r="C86" s="43" t="str">
        <f>IFERROR(__xludf.DUMMYFUNCTION("""COMPUTED_VALUE"""),"Senin, 06/07/2026")</f>
        <v>Senin, 06/07/2026</v>
      </c>
      <c r="D86" s="43" t="str">
        <f>IFERROR(__xludf.DUMMYFUNCTION("""COMPUTED_VALUE"""),"Senin, 06/07/2026")</f>
        <v>Senin, 06/07/2026</v>
      </c>
      <c r="E86" s="42" t="str">
        <f>IFERROR(__xludf.DUMMYFUNCTION("""COMPUTED_VALUE"""),"Selesai")</f>
        <v>Selesai</v>
      </c>
      <c r="F86" s="42" t="str">
        <f>IFERROR(__xludf.DUMMYFUNCTION("""COMPUTED_VALUE"""),"Senin, 06/07/2026 s/d Senin, 06/07/2026")</f>
        <v>Senin, 06/07/2026 s/d Senin, 06/07/2026</v>
      </c>
      <c r="G86" s="41">
        <f>IFERROR(__xludf.DUMMYFUNCTION("""COMPUTED_VALUE"""),8.0)</f>
        <v>8</v>
      </c>
      <c r="H86" s="42" t="str">
        <f>IFERROR(__xludf.DUMMYFUNCTION("""COMPUTED_VALUE"""),"08.00 s/d 16.00")</f>
        <v>08.00 s/d 16.00</v>
      </c>
      <c r="I86" s="42"/>
      <c r="J86" s="42"/>
      <c r="K86" s="42"/>
      <c r="L86" s="42"/>
      <c r="M86" s="42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>
      <c r="A87" s="41"/>
      <c r="B87" s="42"/>
      <c r="C87" s="43" t="str">
        <f>IFERROR(__xludf.DUMMYFUNCTION("""COMPUTED_VALUE"""),"Selasa, 07/07/2026")</f>
        <v>Selasa, 07/07/2026</v>
      </c>
      <c r="D87" s="43" t="str">
        <f>IFERROR(__xludf.DUMMYFUNCTION("""COMPUTED_VALUE"""),"Selasa, 07/07/2026")</f>
        <v>Selasa, 07/07/2026</v>
      </c>
      <c r="E87" s="42" t="str">
        <f>IFERROR(__xludf.DUMMYFUNCTION("""COMPUTED_VALUE"""),"Selesai")</f>
        <v>Selesai</v>
      </c>
      <c r="F87" s="42" t="str">
        <f>IFERROR(__xludf.DUMMYFUNCTION("""COMPUTED_VALUE"""),"Selasa, 07/07/2026 s/d Selasa, 07/07/2026")</f>
        <v>Selasa, 07/07/2026 s/d Selasa, 07/07/2026</v>
      </c>
      <c r="G87" s="41">
        <f>IFERROR(__xludf.DUMMYFUNCTION("""COMPUTED_VALUE"""),9.0)</f>
        <v>9</v>
      </c>
      <c r="H87" s="42" t="str">
        <f>IFERROR(__xludf.DUMMYFUNCTION("""COMPUTED_VALUE"""),"08.00 s/d 16.00")</f>
        <v>08.00 s/d 16.00</v>
      </c>
      <c r="I87" s="42"/>
      <c r="J87" s="42"/>
      <c r="K87" s="42"/>
      <c r="L87" s="42"/>
      <c r="M87" s="42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>
      <c r="A88" s="41"/>
      <c r="B88" s="42"/>
      <c r="C88" s="43" t="str">
        <f>IFERROR(__xludf.DUMMYFUNCTION("""COMPUTED_VALUE"""),"Rabu, 08/07/2026")</f>
        <v>Rabu, 08/07/2026</v>
      </c>
      <c r="D88" s="43" t="str">
        <f>IFERROR(__xludf.DUMMYFUNCTION("""COMPUTED_VALUE"""),"Rabu, 08/07/2026")</f>
        <v>Rabu, 08/07/2026</v>
      </c>
      <c r="E88" s="42" t="str">
        <f>IFERROR(__xludf.DUMMYFUNCTION("""COMPUTED_VALUE"""),"Selesai")</f>
        <v>Selesai</v>
      </c>
      <c r="F88" s="42" t="str">
        <f>IFERROR(__xludf.DUMMYFUNCTION("""COMPUTED_VALUE"""),"Rabu, 08/07/2026 s/d Rabu, 08/07/2026")</f>
        <v>Rabu, 08/07/2026 s/d Rabu, 08/07/2026</v>
      </c>
      <c r="G88" s="41">
        <f>IFERROR(__xludf.DUMMYFUNCTION("""COMPUTED_VALUE"""),10.0)</f>
        <v>10</v>
      </c>
      <c r="H88" s="42" t="str">
        <f>IFERROR(__xludf.DUMMYFUNCTION("""COMPUTED_VALUE"""),"08.00 s/d 16.00")</f>
        <v>08.00 s/d 16.00</v>
      </c>
      <c r="I88" s="42"/>
      <c r="J88" s="42"/>
      <c r="K88" s="42"/>
      <c r="L88" s="42"/>
      <c r="M88" s="42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>
      <c r="A89" s="45"/>
      <c r="B89" s="45"/>
      <c r="C89" s="46" t="str">
        <f>IFERROR(__xludf.DUMMYFUNCTION("""COMPUTED_VALUE"""),"Kamis, 09/07/2026")</f>
        <v>Kamis, 09/07/2026</v>
      </c>
      <c r="D89" s="46" t="str">
        <f>IFERROR(__xludf.DUMMYFUNCTION("""COMPUTED_VALUE"""),"Kamis, 09/07/2026")</f>
        <v>Kamis, 09/07/2026</v>
      </c>
      <c r="E89" s="45" t="str">
        <f>IFERROR(__xludf.DUMMYFUNCTION("""COMPUTED_VALUE"""),"Selesai")</f>
        <v>Selesai</v>
      </c>
      <c r="F89" s="45" t="str">
        <f>IFERROR(__xludf.DUMMYFUNCTION("""COMPUTED_VALUE"""),"Kamis, 09/07/2026 s/d Kamis, 09/07/2026")</f>
        <v>Kamis, 09/07/2026 s/d Kamis, 09/07/2026</v>
      </c>
      <c r="G89" s="44">
        <f>IFERROR(__xludf.DUMMYFUNCTION("""COMPUTED_VALUE"""),11.0)</f>
        <v>11</v>
      </c>
      <c r="H89" s="45" t="str">
        <f>IFERROR(__xludf.DUMMYFUNCTION("""COMPUTED_VALUE"""),"08.00 s/d 16.00")</f>
        <v>08.00 s/d 16.00</v>
      </c>
      <c r="I89" s="45"/>
      <c r="J89" s="45"/>
      <c r="K89" s="45"/>
      <c r="L89" s="45"/>
      <c r="M89" s="45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hidden="1">
      <c r="A90" s="41"/>
      <c r="B90" s="42"/>
      <c r="C90" s="42"/>
      <c r="D90" s="42"/>
      <c r="E90" s="42"/>
      <c r="F90" s="42" t="str">
        <f>IFERROR(__xludf.DUMMYFUNCTION("""COMPUTED_VALUE"""),"")</f>
        <v/>
      </c>
      <c r="G90" s="41"/>
      <c r="H90" s="42"/>
      <c r="I90" s="42"/>
      <c r="J90" s="42"/>
      <c r="K90" s="42"/>
      <c r="L90" s="42"/>
      <c r="M90" s="42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>
      <c r="A91" s="37">
        <f>IFERROR(__xludf.DUMMYFUNCTION("""COMPUTED_VALUE"""),9.0)</f>
        <v>9</v>
      </c>
      <c r="B91" s="35" t="str">
        <f>IFERROR(__xludf.DUMMYFUNCTION("""COMPUTED_VALUE"""),"Peningkatan Jalan Ruas Jalan Purwonegoro - Merden")</f>
        <v>Peningkatan Jalan Ruas Jalan Purwonegoro - Merden</v>
      </c>
      <c r="C91" s="36" t="str">
        <f>IFERROR(__xludf.DUMMYFUNCTION("""COMPUTED_VALUE"""),"Rabu, 01/07/2026")</f>
        <v>Rabu, 01/07/2026</v>
      </c>
      <c r="D91" s="36" t="str">
        <f>IFERROR(__xludf.DUMMYFUNCTION("""COMPUTED_VALUE"""),"Rabu, 01/07/2026")</f>
        <v>Rabu, 01/07/2026</v>
      </c>
      <c r="E91" s="35" t="str">
        <f>IFERROR(__xludf.DUMMYFUNCTION("""COMPUTED_VALUE"""),"Selesai")</f>
        <v>Selesai</v>
      </c>
      <c r="F91" s="35" t="str">
        <f>IFERROR(__xludf.DUMMYFUNCTION("""COMPUTED_VALUE"""),"Rabu, 01/07/2026 s/d Rabu, 01/07/2026")</f>
        <v>Rabu, 01/07/2026 s/d Rabu, 01/07/2026</v>
      </c>
      <c r="G91" s="37">
        <f>IFERROR(__xludf.DUMMYFUNCTION("""COMPUTED_VALUE"""),1.0)</f>
        <v>1</v>
      </c>
      <c r="H91" s="35" t="str">
        <f>IFERROR(__xludf.DUMMYFUNCTION("""COMPUTED_VALUE"""),"16.00 s/d 21.00")</f>
        <v>16.00 s/d 21.00</v>
      </c>
      <c r="I91" s="35"/>
      <c r="J91" s="35"/>
      <c r="K91" s="35"/>
      <c r="L91" s="39" t="str">
        <f>IFERROR(__xludf.DUMMYFUNCTION("""COMPUTED_VALUE"""),"https://maps.app.goo.gl/GLQVZYTJ9S4uHwfp9")</f>
        <v>https://maps.app.goo.gl/GLQVZYTJ9S4uHwfp9</v>
      </c>
      <c r="M91" s="35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>
      <c r="A92" s="41"/>
      <c r="B92" s="42"/>
      <c r="C92" s="43" t="str">
        <f>IFERROR(__xludf.DUMMYFUNCTION("""COMPUTED_VALUE"""),"Minggu, 05/07/2026 ")</f>
        <v>Minggu, 05/07/2026 </v>
      </c>
      <c r="D92" s="43" t="str">
        <f>IFERROR(__xludf.DUMMYFUNCTION("""COMPUTED_VALUE"""),"Minggu, 05/07/2026 ")</f>
        <v>Minggu, 05/07/2026 </v>
      </c>
      <c r="E92" s="42" t="str">
        <f>IFERROR(__xludf.DUMMYFUNCTION("""COMPUTED_VALUE"""),"Selesai")</f>
        <v>Selesai</v>
      </c>
      <c r="F92" s="42" t="str">
        <f>IFERROR(__xludf.DUMMYFUNCTION("""COMPUTED_VALUE"""),"Minggu, 05/07/2026  s/d Minggu, 05/07/2026 ")</f>
        <v>Minggu, 05/07/2026  s/d Minggu, 05/07/2026 </v>
      </c>
      <c r="G92" s="41">
        <f>IFERROR(__xludf.DUMMYFUNCTION("""COMPUTED_VALUE"""),2.0)</f>
        <v>2</v>
      </c>
      <c r="H92" s="42" t="str">
        <f>IFERROR(__xludf.DUMMYFUNCTION("""COMPUTED_VALUE"""),"08.00 s/d 16.00")</f>
        <v>08.00 s/d 16.00</v>
      </c>
      <c r="I92" s="42"/>
      <c r="J92" s="42"/>
      <c r="K92" s="42"/>
      <c r="L92" s="42"/>
      <c r="M92" s="42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>
      <c r="A93" s="44"/>
      <c r="B93" s="45"/>
      <c r="C93" s="46" t="str">
        <f>IFERROR(__xludf.DUMMYFUNCTION("""COMPUTED_VALUE"""),"Minggu, 12/07/2026 ")</f>
        <v>Minggu, 12/07/2026 </v>
      </c>
      <c r="D93" s="46" t="str">
        <f>IFERROR(__xludf.DUMMYFUNCTION("""COMPUTED_VALUE"""),"Minggu, 12/07/2026 ")</f>
        <v>Minggu, 12/07/2026 </v>
      </c>
      <c r="E93" s="45" t="str">
        <f>IFERROR(__xludf.DUMMYFUNCTION("""COMPUTED_VALUE"""),"Selesai")</f>
        <v>Selesai</v>
      </c>
      <c r="F93" s="45" t="str">
        <f>IFERROR(__xludf.DUMMYFUNCTION("""COMPUTED_VALUE"""),"Minggu, 12/07/2026  s/d Minggu, 12/07/2026 ")</f>
        <v>Minggu, 12/07/2026  s/d Minggu, 12/07/2026 </v>
      </c>
      <c r="G93" s="44">
        <f>IFERROR(__xludf.DUMMYFUNCTION("""COMPUTED_VALUE"""),3.0)</f>
        <v>3</v>
      </c>
      <c r="H93" s="45" t="str">
        <f>IFERROR(__xludf.DUMMYFUNCTION("""COMPUTED_VALUE"""),"08.00 s/d 16.00")</f>
        <v>08.00 s/d 16.00</v>
      </c>
      <c r="I93" s="45"/>
      <c r="J93" s="45"/>
      <c r="K93" s="45"/>
      <c r="L93" s="45"/>
      <c r="M93" s="45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hidden="1">
      <c r="A94" s="42"/>
      <c r="B94" s="42"/>
      <c r="C94" s="42"/>
      <c r="D94" s="42"/>
      <c r="E94" s="42"/>
      <c r="F94" s="42" t="str">
        <f>IFERROR(__xludf.DUMMYFUNCTION("""COMPUTED_VALUE"""),"")</f>
        <v/>
      </c>
      <c r="G94" s="41"/>
      <c r="H94" s="42"/>
      <c r="I94" s="42"/>
      <c r="J94" s="42"/>
      <c r="K94" s="42"/>
      <c r="L94" s="42"/>
      <c r="M94" s="42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hidden="1">
      <c r="A95" s="37"/>
      <c r="B95" s="35"/>
      <c r="C95" s="35"/>
      <c r="D95" s="35"/>
      <c r="E95" s="35"/>
      <c r="F95" s="35" t="str">
        <f>IFERROR(__xludf.DUMMYFUNCTION("""COMPUTED_VALUE"""),"")</f>
        <v/>
      </c>
      <c r="G95" s="37"/>
      <c r="H95" s="35"/>
      <c r="I95" s="35"/>
      <c r="J95" s="35"/>
      <c r="K95" s="35"/>
      <c r="L95" s="35"/>
      <c r="M95" s="35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>
      <c r="A96" s="37">
        <f>IFERROR(__xludf.DUMMYFUNCTION("""COMPUTED_VALUE"""),10.0)</f>
        <v>10</v>
      </c>
      <c r="B96" s="35" t="str">
        <f>IFERROR(__xludf.DUMMYFUNCTION("""COMPUTED_VALUE"""),"Pemeliharaan Jalan Ruas Jalan Payaman - Pesantren")</f>
        <v>Pemeliharaan Jalan Ruas Jalan Payaman - Pesantren</v>
      </c>
      <c r="C96" s="36" t="str">
        <f>IFERROR(__xludf.DUMMYFUNCTION("""COMPUTED_VALUE"""),"Minggu, 05/07/2026 ")</f>
        <v>Minggu, 05/07/2026 </v>
      </c>
      <c r="D96" s="36" t="str">
        <f>IFERROR(__xludf.DUMMYFUNCTION("""COMPUTED_VALUE"""),"Minggu, 05/07/2026 ")</f>
        <v>Minggu, 05/07/2026 </v>
      </c>
      <c r="E96" s="35" t="str">
        <f>IFERROR(__xludf.DUMMYFUNCTION("""COMPUTED_VALUE"""),"Selesai")</f>
        <v>Selesai</v>
      </c>
      <c r="F96" s="35" t="str">
        <f>IFERROR(__xludf.DUMMYFUNCTION("""COMPUTED_VALUE"""),"Minggu, 05/07/2026  s/d Minggu, 05/07/2026 ")</f>
        <v>Minggu, 05/07/2026  s/d Minggu, 05/07/2026 </v>
      </c>
      <c r="G96" s="37">
        <f>IFERROR(__xludf.DUMMYFUNCTION("""COMPUTED_VALUE"""),1.0)</f>
        <v>1</v>
      </c>
      <c r="H96" s="35" t="str">
        <f>IFERROR(__xludf.DUMMYFUNCTION("""COMPUTED_VALUE"""),"08.00 s/d 16.00")</f>
        <v>08.00 s/d 16.00</v>
      </c>
      <c r="I96" s="35"/>
      <c r="J96" s="35"/>
      <c r="K96" s="35"/>
      <c r="L96" s="39" t="str">
        <f>IFERROR(__xludf.DUMMYFUNCTION("""COMPUTED_VALUE"""),"https://maps.app.goo.gl/Ynjsfdb9gcLNcwHd9")</f>
        <v>https://maps.app.goo.gl/Ynjsfdb9gcLNcwHd9</v>
      </c>
      <c r="M96" s="35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>
      <c r="A97" s="41"/>
      <c r="B97" s="42"/>
      <c r="C97" s="43" t="str">
        <f>IFERROR(__xludf.DUMMYFUNCTION("""COMPUTED_VALUE"""),"Rabu, 08/07/2026")</f>
        <v>Rabu, 08/07/2026</v>
      </c>
      <c r="D97" s="43" t="str">
        <f>IFERROR(__xludf.DUMMYFUNCTION("""COMPUTED_VALUE"""),"Rabu, 08/07/2026")</f>
        <v>Rabu, 08/07/2026</v>
      </c>
      <c r="E97" s="42" t="str">
        <f>IFERROR(__xludf.DUMMYFUNCTION("""COMPUTED_VALUE"""),"Selesai")</f>
        <v>Selesai</v>
      </c>
      <c r="F97" s="42" t="str">
        <f>IFERROR(__xludf.DUMMYFUNCTION("""COMPUTED_VALUE"""),"Rabu, 08/07/2026 s/d Rabu, 08/07/2026")</f>
        <v>Rabu, 08/07/2026 s/d Rabu, 08/07/2026</v>
      </c>
      <c r="G97" s="41">
        <f>IFERROR(__xludf.DUMMYFUNCTION("""COMPUTED_VALUE"""),2.0)</f>
        <v>2</v>
      </c>
      <c r="H97" s="42" t="str">
        <f>IFERROR(__xludf.DUMMYFUNCTION("""COMPUTED_VALUE"""),"08.00 s/d 16.00")</f>
        <v>08.00 s/d 16.00</v>
      </c>
      <c r="I97" s="42"/>
      <c r="J97" s="42"/>
      <c r="K97" s="42"/>
      <c r="L97" s="42"/>
      <c r="M97" s="42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>
      <c r="A98" s="44"/>
      <c r="B98" s="45"/>
      <c r="C98" s="46" t="str">
        <f>IFERROR(__xludf.DUMMYFUNCTION("""COMPUTED_VALUE"""),"Kamis, 09/07/2026")</f>
        <v>Kamis, 09/07/2026</v>
      </c>
      <c r="D98" s="46" t="str">
        <f>IFERROR(__xludf.DUMMYFUNCTION("""COMPUTED_VALUE"""),"Kamis, 09/07/2026")</f>
        <v>Kamis, 09/07/2026</v>
      </c>
      <c r="E98" s="45" t="str">
        <f>IFERROR(__xludf.DUMMYFUNCTION("""COMPUTED_VALUE"""),"Selesai")</f>
        <v>Selesai</v>
      </c>
      <c r="F98" s="45" t="str">
        <f>IFERROR(__xludf.DUMMYFUNCTION("""COMPUTED_VALUE"""),"Kamis, 09/07/2026 s/d Kamis, 09/07/2026")</f>
        <v>Kamis, 09/07/2026 s/d Kamis, 09/07/2026</v>
      </c>
      <c r="G98" s="44">
        <f>IFERROR(__xludf.DUMMYFUNCTION("""COMPUTED_VALUE"""),3.0)</f>
        <v>3</v>
      </c>
      <c r="H98" s="45" t="str">
        <f>IFERROR(__xludf.DUMMYFUNCTION("""COMPUTED_VALUE"""),"08.00 s/d 16.00")</f>
        <v>08.00 s/d 16.00</v>
      </c>
      <c r="I98" s="45"/>
      <c r="J98" s="45"/>
      <c r="K98" s="45"/>
      <c r="L98" s="45"/>
      <c r="M98" s="45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hidden="1">
      <c r="A99" s="52"/>
      <c r="B99" s="53"/>
      <c r="C99" s="54"/>
      <c r="D99" s="54"/>
      <c r="E99" s="54"/>
      <c r="F99" s="54" t="str">
        <f>IFERROR(__xludf.DUMMYFUNCTION("""COMPUTED_VALUE"""),"")</f>
        <v/>
      </c>
      <c r="G99" s="55"/>
      <c r="H99" s="54"/>
      <c r="I99" s="54"/>
      <c r="J99" s="54"/>
      <c r="K99" s="54"/>
      <c r="L99" s="54"/>
      <c r="M99" s="54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>
      <c r="A100" s="37">
        <f>IFERROR(__xludf.DUMMYFUNCTION("""COMPUTED_VALUE"""),11.0)</f>
        <v>11</v>
      </c>
      <c r="B100" s="56" t="str">
        <f>IFERROR(__xludf.DUMMYFUNCTION("""COMPUTED_VALUE"""),"Peningkatan Jalan Ruas Jalan Pringamba - Lengsar")</f>
        <v>Peningkatan Jalan Ruas Jalan Pringamba - Lengsar</v>
      </c>
      <c r="C100" s="57" t="str">
        <f>IFERROR(__xludf.DUMMYFUNCTION("""COMPUTED_VALUE"""),"Jumat, 17/07/2026")</f>
        <v>Jumat, 17/07/2026</v>
      </c>
      <c r="D100" s="57" t="str">
        <f>IFERROR(__xludf.DUMMYFUNCTION("""COMPUTED_VALUE"""),"Jumat, 17/07/2026")</f>
        <v>Jumat, 17/07/2026</v>
      </c>
      <c r="E100" s="56" t="str">
        <f>IFERROR(__xludf.DUMMYFUNCTION("""COMPUTED_VALUE"""),"Selesai")</f>
        <v>Selesai</v>
      </c>
      <c r="F100" s="56" t="str">
        <f>IFERROR(__xludf.DUMMYFUNCTION("""COMPUTED_VALUE"""),"Jumat, 17/07/2026 s/d Jumat, 17/07/2026")</f>
        <v>Jumat, 17/07/2026 s/d Jumat, 17/07/2026</v>
      </c>
      <c r="G100" s="58">
        <f>IFERROR(__xludf.DUMMYFUNCTION("""COMPUTED_VALUE"""),1.0)</f>
        <v>1</v>
      </c>
      <c r="H100" s="56" t="str">
        <f>IFERROR(__xludf.DUMMYFUNCTION("""COMPUTED_VALUE"""),"12.00 s/d 16.00")</f>
        <v>12.00 s/d 16.00</v>
      </c>
      <c r="I100" s="56"/>
      <c r="J100" s="56"/>
      <c r="K100" s="56"/>
      <c r="L100" s="59" t="str">
        <f>IFERROR(__xludf.DUMMYFUNCTION("""COMPUTED_VALUE"""),"https://maps.app.goo.gl/DTcwQ66ygenFWJRf7")</f>
        <v>https://maps.app.goo.gl/DTcwQ66ygenFWJRf7</v>
      </c>
      <c r="M100" s="56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>
      <c r="A101" s="55"/>
      <c r="B101" s="54"/>
      <c r="C101" s="60" t="str">
        <f>IFERROR(__xludf.DUMMYFUNCTION("""COMPUTED_VALUE"""),"Sabtu, 18/07/2026")</f>
        <v>Sabtu, 18/07/2026</v>
      </c>
      <c r="D101" s="60" t="str">
        <f>IFERROR(__xludf.DUMMYFUNCTION("""COMPUTED_VALUE"""),"Sabtu, 18/07/2026")</f>
        <v>Sabtu, 18/07/2026</v>
      </c>
      <c r="E101" s="54" t="str">
        <f>IFERROR(__xludf.DUMMYFUNCTION("""COMPUTED_VALUE"""),"Selesai")</f>
        <v>Selesai</v>
      </c>
      <c r="F101" s="54" t="str">
        <f>IFERROR(__xludf.DUMMYFUNCTION("""COMPUTED_VALUE"""),"Sabtu, 18/07/2026 s/d Sabtu, 18/07/2026")</f>
        <v>Sabtu, 18/07/2026 s/d Sabtu, 18/07/2026</v>
      </c>
      <c r="G101" s="55">
        <f>IFERROR(__xludf.DUMMYFUNCTION("""COMPUTED_VALUE"""),2.0)</f>
        <v>2</v>
      </c>
      <c r="H101" s="54" t="str">
        <f>IFERROR(__xludf.DUMMYFUNCTION("""COMPUTED_VALUE"""),"12.00 s/d 16.00")</f>
        <v>12.00 s/d 16.00</v>
      </c>
      <c r="I101" s="54"/>
      <c r="J101" s="54"/>
      <c r="K101" s="54"/>
      <c r="L101" s="54"/>
      <c r="M101" s="54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>
      <c r="A102" s="55"/>
      <c r="B102" s="54"/>
      <c r="C102" s="60" t="str">
        <f>IFERROR(__xludf.DUMMYFUNCTION("""COMPUTED_VALUE"""),"Minggu, 19/07/2026")</f>
        <v>Minggu, 19/07/2026</v>
      </c>
      <c r="D102" s="60" t="str">
        <f>IFERROR(__xludf.DUMMYFUNCTION("""COMPUTED_VALUE"""),"Minggu, 19/07/2026")</f>
        <v>Minggu, 19/07/2026</v>
      </c>
      <c r="E102" s="54" t="str">
        <f>IFERROR(__xludf.DUMMYFUNCTION("""COMPUTED_VALUE"""),"Selesai")</f>
        <v>Selesai</v>
      </c>
      <c r="F102" s="54" t="str">
        <f>IFERROR(__xludf.DUMMYFUNCTION("""COMPUTED_VALUE"""),"Minggu, 19/07/2026 s/d Minggu, 19/07/2026")</f>
        <v>Minggu, 19/07/2026 s/d Minggu, 19/07/2026</v>
      </c>
      <c r="G102" s="55">
        <f>IFERROR(__xludf.DUMMYFUNCTION("""COMPUTED_VALUE"""),3.0)</f>
        <v>3</v>
      </c>
      <c r="H102" s="54" t="str">
        <f>IFERROR(__xludf.DUMMYFUNCTION("""COMPUTED_VALUE"""),"12.00 s/d 16.00")</f>
        <v>12.00 s/d 16.00</v>
      </c>
      <c r="I102" s="54"/>
      <c r="J102" s="54"/>
      <c r="K102" s="54"/>
      <c r="L102" s="54"/>
      <c r="M102" s="54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>
      <c r="A103" s="55"/>
      <c r="B103" s="54"/>
      <c r="C103" s="60" t="str">
        <f>IFERROR(__xludf.DUMMYFUNCTION("""COMPUTED_VALUE"""),"Selasa, 21/07/2026")</f>
        <v>Selasa, 21/07/2026</v>
      </c>
      <c r="D103" s="60" t="str">
        <f>IFERROR(__xludf.DUMMYFUNCTION("""COMPUTED_VALUE"""),"Selasa, 21/07/2026")</f>
        <v>Selasa, 21/07/2026</v>
      </c>
      <c r="E103" s="54" t="str">
        <f>IFERROR(__xludf.DUMMYFUNCTION("""COMPUTED_VALUE"""),"Selesai")</f>
        <v>Selesai</v>
      </c>
      <c r="F103" s="54" t="str">
        <f>IFERROR(__xludf.DUMMYFUNCTION("""COMPUTED_VALUE"""),"Selasa, 21/07/2026 s/d Selasa, 21/07/2026")</f>
        <v>Selasa, 21/07/2026 s/d Selasa, 21/07/2026</v>
      </c>
      <c r="G103" s="55">
        <f>IFERROR(__xludf.DUMMYFUNCTION("""COMPUTED_VALUE"""),4.0)</f>
        <v>4</v>
      </c>
      <c r="H103" s="54" t="str">
        <f>IFERROR(__xludf.DUMMYFUNCTION("""COMPUTED_VALUE"""),"12.00 s/d 16.00")</f>
        <v>12.00 s/d 16.00</v>
      </c>
      <c r="I103" s="54"/>
      <c r="J103" s="54"/>
      <c r="K103" s="54"/>
      <c r="L103" s="54"/>
      <c r="M103" s="54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>
      <c r="A104" s="41"/>
      <c r="B104" s="54"/>
      <c r="C104" s="60" t="str">
        <f>IFERROR(__xludf.DUMMYFUNCTION("""COMPUTED_VALUE"""),"Rabu, 22/07/2026")</f>
        <v>Rabu, 22/07/2026</v>
      </c>
      <c r="D104" s="60" t="str">
        <f>IFERROR(__xludf.DUMMYFUNCTION("""COMPUTED_VALUE"""),"Rabu, 22/07/2026")</f>
        <v>Rabu, 22/07/2026</v>
      </c>
      <c r="E104" s="54" t="str">
        <f>IFERROR(__xludf.DUMMYFUNCTION("""COMPUTED_VALUE"""),"Selesai")</f>
        <v>Selesai</v>
      </c>
      <c r="F104" s="54" t="str">
        <f>IFERROR(__xludf.DUMMYFUNCTION("""COMPUTED_VALUE"""),"Rabu, 22/07/2026 s/d Rabu, 22/07/2026")</f>
        <v>Rabu, 22/07/2026 s/d Rabu, 22/07/2026</v>
      </c>
      <c r="G104" s="55">
        <f>IFERROR(__xludf.DUMMYFUNCTION("""COMPUTED_VALUE"""),5.0)</f>
        <v>5</v>
      </c>
      <c r="H104" s="54" t="str">
        <f>IFERROR(__xludf.DUMMYFUNCTION("""COMPUTED_VALUE"""),"12.00 s/d 16.00")</f>
        <v>12.00 s/d 16.00</v>
      </c>
      <c r="I104" s="54"/>
      <c r="J104" s="54"/>
      <c r="K104" s="54"/>
      <c r="L104" s="54"/>
      <c r="M104" s="54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>
      <c r="A105" s="55"/>
      <c r="B105" s="54"/>
      <c r="C105" s="60" t="str">
        <f>IFERROR(__xludf.DUMMYFUNCTION("""COMPUTED_VALUE"""),"Kamis, 23/07/2026")</f>
        <v>Kamis, 23/07/2026</v>
      </c>
      <c r="D105" s="60" t="str">
        <f>IFERROR(__xludf.DUMMYFUNCTION("""COMPUTED_VALUE"""),"Kamis, 23/07/2026")</f>
        <v>Kamis, 23/07/2026</v>
      </c>
      <c r="E105" s="54" t="str">
        <f>IFERROR(__xludf.DUMMYFUNCTION("""COMPUTED_VALUE"""),"Selesai")</f>
        <v>Selesai</v>
      </c>
      <c r="F105" s="54" t="str">
        <f>IFERROR(__xludf.DUMMYFUNCTION("""COMPUTED_VALUE"""),"Kamis, 23/07/2026 s/d Kamis, 23/07/2026")</f>
        <v>Kamis, 23/07/2026 s/d Kamis, 23/07/2026</v>
      </c>
      <c r="G105" s="55">
        <f>IFERROR(__xludf.DUMMYFUNCTION("""COMPUTED_VALUE"""),6.0)</f>
        <v>6</v>
      </c>
      <c r="H105" s="54" t="str">
        <f>IFERROR(__xludf.DUMMYFUNCTION("""COMPUTED_VALUE"""),"12.00 s/d 16.00")</f>
        <v>12.00 s/d 16.00</v>
      </c>
      <c r="I105" s="54"/>
      <c r="J105" s="54"/>
      <c r="K105" s="54"/>
      <c r="L105" s="54"/>
      <c r="M105" s="54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>
      <c r="A106" s="55"/>
      <c r="B106" s="54"/>
      <c r="C106" s="60" t="str">
        <f>IFERROR(__xludf.DUMMYFUNCTION("""COMPUTED_VALUE"""),"Jumat, 24/07/2026")</f>
        <v>Jumat, 24/07/2026</v>
      </c>
      <c r="D106" s="60" t="str">
        <f>IFERROR(__xludf.DUMMYFUNCTION("""COMPUTED_VALUE"""),"Jumat, 24/07/2026")</f>
        <v>Jumat, 24/07/2026</v>
      </c>
      <c r="E106" s="54" t="str">
        <f>IFERROR(__xludf.DUMMYFUNCTION("""COMPUTED_VALUE"""),"Selesai")</f>
        <v>Selesai</v>
      </c>
      <c r="F106" s="54" t="str">
        <f>IFERROR(__xludf.DUMMYFUNCTION("""COMPUTED_VALUE"""),"Jumat, 24/07/2026 s/d Jumat, 24/07/2026")</f>
        <v>Jumat, 24/07/2026 s/d Jumat, 24/07/2026</v>
      </c>
      <c r="G106" s="55">
        <f>IFERROR(__xludf.DUMMYFUNCTION("""COMPUTED_VALUE"""),7.0)</f>
        <v>7</v>
      </c>
      <c r="H106" s="54" t="str">
        <f>IFERROR(__xludf.DUMMYFUNCTION("""COMPUTED_VALUE"""),"12.00 s/d 16.00")</f>
        <v>12.00 s/d 16.00</v>
      </c>
      <c r="I106" s="54"/>
      <c r="J106" s="54"/>
      <c r="K106" s="54"/>
      <c r="L106" s="54"/>
      <c r="M106" s="54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>
      <c r="A107" s="61"/>
      <c r="B107" s="62"/>
      <c r="C107" s="63" t="str">
        <f>IFERROR(__xludf.DUMMYFUNCTION("""COMPUTED_VALUE"""),"Sabtu, 25/07/2026")</f>
        <v>Sabtu, 25/07/2026</v>
      </c>
      <c r="D107" s="63" t="str">
        <f>IFERROR(__xludf.DUMMYFUNCTION("""COMPUTED_VALUE"""),"Sabtu, 25/07/2026")</f>
        <v>Sabtu, 25/07/2026</v>
      </c>
      <c r="E107" s="62" t="str">
        <f>IFERROR(__xludf.DUMMYFUNCTION("""COMPUTED_VALUE"""),"Selesai")</f>
        <v>Selesai</v>
      </c>
      <c r="F107" s="62" t="str">
        <f>IFERROR(__xludf.DUMMYFUNCTION("""COMPUTED_VALUE"""),"Sabtu, 25/07/2026 s/d Sabtu, 25/07/2026")</f>
        <v>Sabtu, 25/07/2026 s/d Sabtu, 25/07/2026</v>
      </c>
      <c r="G107" s="61">
        <f>IFERROR(__xludf.DUMMYFUNCTION("""COMPUTED_VALUE"""),8.0)</f>
        <v>8</v>
      </c>
      <c r="H107" s="62" t="str">
        <f>IFERROR(__xludf.DUMMYFUNCTION("""COMPUTED_VALUE"""),"12.00 s/d 16.00")</f>
        <v>12.00 s/d 16.00</v>
      </c>
      <c r="I107" s="62"/>
      <c r="J107" s="62"/>
      <c r="K107" s="62"/>
      <c r="L107" s="62"/>
      <c r="M107" s="62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idden="1">
      <c r="A108" s="18"/>
      <c r="B108" s="18"/>
      <c r="C108" s="18"/>
      <c r="D108" s="18"/>
      <c r="E108" s="18"/>
      <c r="F108" s="18" t="str">
        <f>IFERROR(__xludf.DUMMYFUNCTION("""COMPUTED_VALUE"""),"")</f>
        <v/>
      </c>
      <c r="G108" s="64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>
      <c r="A109" s="31">
        <f>IFERROR(__xludf.DUMMYFUNCTION("""COMPUTED_VALUE"""),12.0)</f>
        <v>12</v>
      </c>
      <c r="B109" s="15" t="str">
        <f>IFERROR(__xludf.DUMMYFUNCTION("""COMPUTED_VALUE"""),"Peningkatan Jalan Ruas Jalan Kebondalem - Silangit")</f>
        <v>Peningkatan Jalan Ruas Jalan Kebondalem - Silangit</v>
      </c>
      <c r="C109" s="30" t="str">
        <f>IFERROR(__xludf.DUMMYFUNCTION("""COMPUTED_VALUE"""),"Sabtu, 18/07/2026")</f>
        <v>Sabtu, 18/07/2026</v>
      </c>
      <c r="D109" s="30" t="str">
        <f>IFERROR(__xludf.DUMMYFUNCTION("""COMPUTED_VALUE"""),"Sabtu, 18/07/2026")</f>
        <v>Sabtu, 18/07/2026</v>
      </c>
      <c r="E109" s="15" t="str">
        <f>IFERROR(__xludf.DUMMYFUNCTION("""COMPUTED_VALUE"""),"Selesai")</f>
        <v>Selesai</v>
      </c>
      <c r="F109" s="15" t="str">
        <f>IFERROR(__xludf.DUMMYFUNCTION("""COMPUTED_VALUE"""),"Sabtu, 18/07/2026 s/d Sabtu, 18/07/2026")</f>
        <v>Sabtu, 18/07/2026 s/d Sabtu, 18/07/2026</v>
      </c>
      <c r="G109" s="31">
        <f>IFERROR(__xludf.DUMMYFUNCTION("""COMPUTED_VALUE"""),1.0)</f>
        <v>1</v>
      </c>
      <c r="H109" s="15" t="str">
        <f>IFERROR(__xludf.DUMMYFUNCTION("""COMPUTED_VALUE"""),"12.00 s/d 16.00")</f>
        <v>12.00 s/d 16.00</v>
      </c>
      <c r="I109" s="15"/>
      <c r="J109" s="15"/>
      <c r="K109" s="15"/>
      <c r="L109" s="33" t="str">
        <f>IFERROR(__xludf.DUMMYFUNCTION("""COMPUTED_VALUE"""),"https://maps.app.goo.gl/dvx3ebZzBRiFvG4z9")</f>
        <v>https://maps.app.goo.gl/dvx3ebZzBRiFvG4z9</v>
      </c>
      <c r="M109" s="15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idden="1">
      <c r="A110" s="18"/>
      <c r="B110" s="18"/>
      <c r="C110" s="18"/>
      <c r="D110" s="18"/>
      <c r="E110" s="18"/>
      <c r="F110" s="18" t="str">
        <f>IFERROR(__xludf.DUMMYFUNCTION("""COMPUTED_VALUE"""),"")</f>
        <v/>
      </c>
      <c r="G110" s="64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>
      <c r="A111" s="58">
        <f>IFERROR(__xludf.DUMMYFUNCTION("""COMPUTED_VALUE"""),13.0)</f>
        <v>13</v>
      </c>
      <c r="B111" s="56" t="str">
        <f>IFERROR(__xludf.DUMMYFUNCTION("""COMPUTED_VALUE"""),"Peningkatan Jalan Ruas Jalan Babadan - Semangkung")</f>
        <v>Peningkatan Jalan Ruas Jalan Babadan - Semangkung</v>
      </c>
      <c r="C111" s="57" t="str">
        <f>IFERROR(__xludf.DUMMYFUNCTION("""COMPUTED_VALUE"""),"Senin, 20/07/2026")</f>
        <v>Senin, 20/07/2026</v>
      </c>
      <c r="D111" s="57" t="str">
        <f>IFERROR(__xludf.DUMMYFUNCTION("""COMPUTED_VALUE"""),"Senin, 20/07/2026")</f>
        <v>Senin, 20/07/2026</v>
      </c>
      <c r="E111" s="56" t="str">
        <f>IFERROR(__xludf.DUMMYFUNCTION("""COMPUTED_VALUE"""),"Selesai")</f>
        <v>Selesai</v>
      </c>
      <c r="F111" s="56" t="str">
        <f>IFERROR(__xludf.DUMMYFUNCTION("""COMPUTED_VALUE"""),"Senin, 20/07/2026 s/d Senin, 20/07/2026")</f>
        <v>Senin, 20/07/2026 s/d Senin, 20/07/2026</v>
      </c>
      <c r="G111" s="58">
        <f>IFERROR(__xludf.DUMMYFUNCTION("""COMPUTED_VALUE"""),1.0)</f>
        <v>1</v>
      </c>
      <c r="H111" s="56" t="str">
        <f>IFERROR(__xludf.DUMMYFUNCTION("""COMPUTED_VALUE"""),"12.00 s/d 16.00")</f>
        <v>12.00 s/d 16.00</v>
      </c>
      <c r="I111" s="56"/>
      <c r="J111" s="56"/>
      <c r="K111" s="56"/>
      <c r="L111" s="59" t="str">
        <f>IFERROR(__xludf.DUMMYFUNCTION("""COMPUTED_VALUE"""),"https://maps.app.goo.gl/EhbLb4dVdMHjGamk7 ")</f>
        <v>https://maps.app.goo.gl/EhbLb4dVdMHjGamk7 </v>
      </c>
      <c r="M111" s="56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>
      <c r="A112" s="55"/>
      <c r="B112" s="54"/>
      <c r="C112" s="60" t="str">
        <f>IFERROR(__xludf.DUMMYFUNCTION("""COMPUTED_VALUE"""),"Selasa, 21/07/2026")</f>
        <v>Selasa, 21/07/2026</v>
      </c>
      <c r="D112" s="60" t="str">
        <f>IFERROR(__xludf.DUMMYFUNCTION("""COMPUTED_VALUE"""),"Selasa, 21/07/2026")</f>
        <v>Selasa, 21/07/2026</v>
      </c>
      <c r="E112" s="54" t="str">
        <f>IFERROR(__xludf.DUMMYFUNCTION("""COMPUTED_VALUE"""),"Selesai")</f>
        <v>Selesai</v>
      </c>
      <c r="F112" s="54" t="str">
        <f>IFERROR(__xludf.DUMMYFUNCTION("""COMPUTED_VALUE"""),"Selasa, 21/07/2026 s/d Selasa, 21/07/2026")</f>
        <v>Selasa, 21/07/2026 s/d Selasa, 21/07/2026</v>
      </c>
      <c r="G112" s="55">
        <f>IFERROR(__xludf.DUMMYFUNCTION("""COMPUTED_VALUE"""),2.0)</f>
        <v>2</v>
      </c>
      <c r="H112" s="54" t="str">
        <f>IFERROR(__xludf.DUMMYFUNCTION("""COMPUTED_VALUE"""),"12.00 s/d 16.00")</f>
        <v>12.00 s/d 16.00</v>
      </c>
      <c r="I112" s="54"/>
      <c r="J112" s="54"/>
      <c r="K112" s="54"/>
      <c r="L112" s="54"/>
      <c r="M112" s="54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>
      <c r="A113" s="55"/>
      <c r="B113" s="54"/>
      <c r="C113" s="60" t="str">
        <f>IFERROR(__xludf.DUMMYFUNCTION("""COMPUTED_VALUE"""),"Rabu, 22/07/2026")</f>
        <v>Rabu, 22/07/2026</v>
      </c>
      <c r="D113" s="60" t="str">
        <f>IFERROR(__xludf.DUMMYFUNCTION("""COMPUTED_VALUE"""),"Rabu, 22/07/2026")</f>
        <v>Rabu, 22/07/2026</v>
      </c>
      <c r="E113" s="54" t="str">
        <f>IFERROR(__xludf.DUMMYFUNCTION("""COMPUTED_VALUE"""),"Selesai")</f>
        <v>Selesai</v>
      </c>
      <c r="F113" s="54" t="str">
        <f>IFERROR(__xludf.DUMMYFUNCTION("""COMPUTED_VALUE"""),"Rabu, 22/07/2026 s/d Rabu, 22/07/2026")</f>
        <v>Rabu, 22/07/2026 s/d Rabu, 22/07/2026</v>
      </c>
      <c r="G113" s="55">
        <f>IFERROR(__xludf.DUMMYFUNCTION("""COMPUTED_VALUE"""),3.0)</f>
        <v>3</v>
      </c>
      <c r="H113" s="54" t="str">
        <f>IFERROR(__xludf.DUMMYFUNCTION("""COMPUTED_VALUE"""),"12.00 s/d 16.00")</f>
        <v>12.00 s/d 16.00</v>
      </c>
      <c r="I113" s="54"/>
      <c r="J113" s="54"/>
      <c r="K113" s="54"/>
      <c r="L113" s="54"/>
      <c r="M113" s="54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>
      <c r="A114" s="55"/>
      <c r="B114" s="54"/>
      <c r="C114" s="60" t="str">
        <f>IFERROR(__xludf.DUMMYFUNCTION("""COMPUTED_VALUE"""),"Jumat, 24/07/2026")</f>
        <v>Jumat, 24/07/2026</v>
      </c>
      <c r="D114" s="60" t="str">
        <f>IFERROR(__xludf.DUMMYFUNCTION("""COMPUTED_VALUE"""),"Jumat, 24/07/2026")</f>
        <v>Jumat, 24/07/2026</v>
      </c>
      <c r="E114" s="54" t="str">
        <f>IFERROR(__xludf.DUMMYFUNCTION("""COMPUTED_VALUE"""),"Selesai")</f>
        <v>Selesai</v>
      </c>
      <c r="F114" s="54" t="str">
        <f>IFERROR(__xludf.DUMMYFUNCTION("""COMPUTED_VALUE"""),"Jumat, 24/07/2026 s/d Jumat, 24/07/2026")</f>
        <v>Jumat, 24/07/2026 s/d Jumat, 24/07/2026</v>
      </c>
      <c r="G114" s="55">
        <f>IFERROR(__xludf.DUMMYFUNCTION("""COMPUTED_VALUE"""),4.0)</f>
        <v>4</v>
      </c>
      <c r="H114" s="54" t="str">
        <f>IFERROR(__xludf.DUMMYFUNCTION("""COMPUTED_VALUE"""),"12.00 s/d 16.00")</f>
        <v>12.00 s/d 16.00</v>
      </c>
      <c r="I114" s="54"/>
      <c r="J114" s="54"/>
      <c r="K114" s="54"/>
      <c r="L114" s="54"/>
      <c r="M114" s="54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>
      <c r="A115" s="61"/>
      <c r="B115" s="62"/>
      <c r="C115" s="63" t="str">
        <f>IFERROR(__xludf.DUMMYFUNCTION("""COMPUTED_VALUE"""),"Sabtu, 25/07/2026")</f>
        <v>Sabtu, 25/07/2026</v>
      </c>
      <c r="D115" s="63" t="str">
        <f>IFERROR(__xludf.DUMMYFUNCTION("""COMPUTED_VALUE"""),"Sabtu, 25/07/2026")</f>
        <v>Sabtu, 25/07/2026</v>
      </c>
      <c r="E115" s="62" t="str">
        <f>IFERROR(__xludf.DUMMYFUNCTION("""COMPUTED_VALUE"""),"Selesai")</f>
        <v>Selesai</v>
      </c>
      <c r="F115" s="62" t="str">
        <f>IFERROR(__xludf.DUMMYFUNCTION("""COMPUTED_VALUE"""),"Sabtu, 25/07/2026 s/d Sabtu, 25/07/2026")</f>
        <v>Sabtu, 25/07/2026 s/d Sabtu, 25/07/2026</v>
      </c>
      <c r="G115" s="61">
        <f>IFERROR(__xludf.DUMMYFUNCTION("""COMPUTED_VALUE"""),5.0)</f>
        <v>5</v>
      </c>
      <c r="H115" s="62" t="str">
        <f>IFERROR(__xludf.DUMMYFUNCTION("""COMPUTED_VALUE"""),"12.00 s/d 16.00")</f>
        <v>12.00 s/d 16.00</v>
      </c>
      <c r="I115" s="62"/>
      <c r="J115" s="62"/>
      <c r="K115" s="62"/>
      <c r="L115" s="62"/>
      <c r="M115" s="62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idden="1">
      <c r="A116" s="18"/>
      <c r="B116" s="18"/>
      <c r="C116" s="18"/>
      <c r="D116" s="18"/>
      <c r="E116" s="18"/>
      <c r="F116" s="18" t="str">
        <f>IFERROR(__xludf.DUMMYFUNCTION("""COMPUTED_VALUE"""),"")</f>
        <v/>
      </c>
      <c r="G116" s="64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>
      <c r="A117" s="31">
        <f>IFERROR(__xludf.DUMMYFUNCTION("""COMPUTED_VALUE"""),14.0)</f>
        <v>14</v>
      </c>
      <c r="B117" s="15" t="str">
        <f>IFERROR(__xludf.DUMMYFUNCTION("""COMPUTED_VALUE"""),"Peningkatan Jalan Ruas Jalan Tanjunganom - Tapen")</f>
        <v>Peningkatan Jalan Ruas Jalan Tanjunganom - Tapen</v>
      </c>
      <c r="C117" s="30" t="str">
        <f>IFERROR(__xludf.DUMMYFUNCTION("""COMPUTED_VALUE"""),"Selasa, 21/07/2026")</f>
        <v>Selasa, 21/07/2026</v>
      </c>
      <c r="D117" s="30" t="str">
        <f>IFERROR(__xludf.DUMMYFUNCTION("""COMPUTED_VALUE"""),"Selasa, 21/07/2026")</f>
        <v>Selasa, 21/07/2026</v>
      </c>
      <c r="E117" s="15" t="str">
        <f>IFERROR(__xludf.DUMMYFUNCTION("""COMPUTED_VALUE"""),"Selesai")</f>
        <v>Selesai</v>
      </c>
      <c r="F117" s="15" t="str">
        <f>IFERROR(__xludf.DUMMYFUNCTION("""COMPUTED_VALUE"""),"Selasa, 21/07/2026 s/d Selasa, 21/07/2026")</f>
        <v>Selasa, 21/07/2026 s/d Selasa, 21/07/2026</v>
      </c>
      <c r="G117" s="31">
        <f>IFERROR(__xludf.DUMMYFUNCTION("""COMPUTED_VALUE"""),1.0)</f>
        <v>1</v>
      </c>
      <c r="H117" s="15" t="str">
        <f>IFERROR(__xludf.DUMMYFUNCTION("""COMPUTED_VALUE"""),"08.00 s/d 16.00")</f>
        <v>08.00 s/d 16.00</v>
      </c>
      <c r="I117" s="15"/>
      <c r="J117" s="15"/>
      <c r="K117" s="15"/>
      <c r="L117" s="33" t="str">
        <f>IFERROR(__xludf.DUMMYFUNCTION("""COMPUTED_VALUE"""),"https://maps.app.goo.gl/mKGoE2QSucSFA7Ks5")</f>
        <v>https://maps.app.goo.gl/mKGoE2QSucSFA7Ks5</v>
      </c>
      <c r="M117" s="15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idden="1">
      <c r="A118" s="15"/>
      <c r="B118" s="15"/>
      <c r="C118" s="15"/>
      <c r="D118" s="15"/>
      <c r="E118" s="15"/>
      <c r="F118" s="15" t="str">
        <f>IFERROR(__xludf.DUMMYFUNCTION("""COMPUTED_VALUE"""),"")</f>
        <v/>
      </c>
      <c r="G118" s="31"/>
      <c r="H118" s="15"/>
      <c r="I118" s="15"/>
      <c r="J118" s="15"/>
      <c r="K118" s="15"/>
      <c r="L118" s="15"/>
      <c r="M118" s="15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>
      <c r="A119" s="31">
        <f>IFERROR(__xludf.DUMMYFUNCTION("""COMPUTED_VALUE"""),15.0)</f>
        <v>15</v>
      </c>
      <c r="B119" s="15" t="str">
        <f>IFERROR(__xludf.DUMMYFUNCTION("""COMPUTED_VALUE"""),"Peningkatan Jalan Ruas Jalan Bulukuning - Karekan")</f>
        <v>Peningkatan Jalan Ruas Jalan Bulukuning - Karekan</v>
      </c>
      <c r="C119" s="30" t="str">
        <f>IFERROR(__xludf.DUMMYFUNCTION("""COMPUTED_VALUE"""),"Minggu, 26/07/2026")</f>
        <v>Minggu, 26/07/2026</v>
      </c>
      <c r="D119" s="30" t="str">
        <f>IFERROR(__xludf.DUMMYFUNCTION("""COMPUTED_VALUE"""),"Minggu, 26/07/2026")</f>
        <v>Minggu, 26/07/2026</v>
      </c>
      <c r="E119" s="15" t="str">
        <f>IFERROR(__xludf.DUMMYFUNCTION("""COMPUTED_VALUE"""),"Selesai")</f>
        <v>Selesai</v>
      </c>
      <c r="F119" s="15" t="str">
        <f>IFERROR(__xludf.DUMMYFUNCTION("""COMPUTED_VALUE"""),"Minggu, 26/07/2026 s/d Minggu, 26/07/2026")</f>
        <v>Minggu, 26/07/2026 s/d Minggu, 26/07/2026</v>
      </c>
      <c r="G119" s="31">
        <f>IFERROR(__xludf.DUMMYFUNCTION("""COMPUTED_VALUE"""),1.0)</f>
        <v>1</v>
      </c>
      <c r="H119" s="15" t="str">
        <f>IFERROR(__xludf.DUMMYFUNCTION("""COMPUTED_VALUE"""),"08.00 s/d 16.00")</f>
        <v>08.00 s/d 16.00</v>
      </c>
      <c r="I119" s="15"/>
      <c r="J119" s="15"/>
      <c r="K119" s="15"/>
      <c r="L119" s="33" t="str">
        <f>IFERROR(__xludf.DUMMYFUNCTION("""COMPUTED_VALUE"""),"https://maps.app.goo.gl/u4P5C6DETgS5GBoN7")</f>
        <v>https://maps.app.goo.gl/u4P5C6DETgS5GBoN7</v>
      </c>
      <c r="M119" s="15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idden="1">
      <c r="A120" s="18"/>
      <c r="B120" s="18"/>
      <c r="C120" s="18"/>
      <c r="D120" s="18"/>
      <c r="E120" s="18"/>
      <c r="F120" s="18" t="str">
        <f>IFERROR(__xludf.DUMMYFUNCTION("""COMPUTED_VALUE"""),"")</f>
        <v/>
      </c>
      <c r="G120" s="64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>
      <c r="A121" s="58">
        <f>IFERROR(__xludf.DUMMYFUNCTION("""COMPUTED_VALUE"""),16.0)</f>
        <v>16</v>
      </c>
      <c r="B121" s="56" t="str">
        <f>IFERROR(__xludf.DUMMYFUNCTION("""COMPUTED_VALUE"""),"Peningkatan Jalan Ruas Jalan Punggelan - Talangan")</f>
        <v>Peningkatan Jalan Ruas Jalan Punggelan - Talangan</v>
      </c>
      <c r="C121" s="57" t="str">
        <f>IFERROR(__xludf.DUMMYFUNCTION("""COMPUTED_VALUE"""),"Rabu, 29/07/2026")</f>
        <v>Rabu, 29/07/2026</v>
      </c>
      <c r="D121" s="57" t="str">
        <f>IFERROR(__xludf.DUMMYFUNCTION("""COMPUTED_VALUE"""),"Rabu, 29/07/2026")</f>
        <v>Rabu, 29/07/2026</v>
      </c>
      <c r="E121" s="56" t="str">
        <f>IFERROR(__xludf.DUMMYFUNCTION("""COMPUTED_VALUE"""),"Selesai")</f>
        <v>Selesai</v>
      </c>
      <c r="F121" s="56" t="str">
        <f>IFERROR(__xludf.DUMMYFUNCTION("""COMPUTED_VALUE"""),"Rabu, 29/07/2026 s/d Rabu, 29/07/2026")</f>
        <v>Rabu, 29/07/2026 s/d Rabu, 29/07/2026</v>
      </c>
      <c r="G121" s="58">
        <f>IFERROR(__xludf.DUMMYFUNCTION("""COMPUTED_VALUE"""),1.0)</f>
        <v>1</v>
      </c>
      <c r="H121" s="56" t="str">
        <f>IFERROR(__xludf.DUMMYFUNCTION("""COMPUTED_VALUE"""),"08.00 s/d 16.00")</f>
        <v>08.00 s/d 16.00</v>
      </c>
      <c r="I121" s="56"/>
      <c r="J121" s="56"/>
      <c r="K121" s="56"/>
      <c r="L121" s="59" t="str">
        <f>IFERROR(__xludf.DUMMYFUNCTION("""COMPUTED_VALUE"""),"https://maps.app.goo.gl/e5cXgAi8eLYYmAMB6")</f>
        <v>https://maps.app.goo.gl/e5cXgAi8eLYYmAMB6</v>
      </c>
      <c r="M121" s="56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>
      <c r="A122" s="55"/>
      <c r="B122" s="54"/>
      <c r="C122" s="60" t="str">
        <f>IFERROR(__xludf.DUMMYFUNCTION("""COMPUTED_VALUE"""),"Sabtu, 01/08/2026")</f>
        <v>Sabtu, 01/08/2026</v>
      </c>
      <c r="D122" s="60" t="str">
        <f>IFERROR(__xludf.DUMMYFUNCTION("""COMPUTED_VALUE"""),"Sabtu, 01/08/2026")</f>
        <v>Sabtu, 01/08/2026</v>
      </c>
      <c r="E122" s="54" t="str">
        <f>IFERROR(__xludf.DUMMYFUNCTION("""COMPUTED_VALUE"""),"Selesai")</f>
        <v>Selesai</v>
      </c>
      <c r="F122" s="54" t="str">
        <f>IFERROR(__xludf.DUMMYFUNCTION("""COMPUTED_VALUE"""),"Sabtu, 01/08/2026 s/d Sabtu, 01/08/2026")</f>
        <v>Sabtu, 01/08/2026 s/d Sabtu, 01/08/2026</v>
      </c>
      <c r="G122" s="55">
        <f>IFERROR(__xludf.DUMMYFUNCTION("""COMPUTED_VALUE"""),2.0)</f>
        <v>2</v>
      </c>
      <c r="H122" s="54" t="str">
        <f>IFERROR(__xludf.DUMMYFUNCTION("""COMPUTED_VALUE"""),"08.00 s/d 16.00")</f>
        <v>08.00 s/d 16.00</v>
      </c>
      <c r="I122" s="54"/>
      <c r="J122" s="54"/>
      <c r="K122" s="54"/>
      <c r="L122" s="54"/>
      <c r="M122" s="54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>
      <c r="A123" s="55"/>
      <c r="B123" s="54"/>
      <c r="C123" s="60" t="str">
        <f>IFERROR(__xludf.DUMMYFUNCTION("""COMPUTED_VALUE"""),"Minggu, 02/08/2026")</f>
        <v>Minggu, 02/08/2026</v>
      </c>
      <c r="D123" s="60" t="str">
        <f>IFERROR(__xludf.DUMMYFUNCTION("""COMPUTED_VALUE"""),"Minggu, 02/08/2026")</f>
        <v>Minggu, 02/08/2026</v>
      </c>
      <c r="E123" s="54" t="str">
        <f>IFERROR(__xludf.DUMMYFUNCTION("""COMPUTED_VALUE"""),"Selesai")</f>
        <v>Selesai</v>
      </c>
      <c r="F123" s="54" t="str">
        <f>IFERROR(__xludf.DUMMYFUNCTION("""COMPUTED_VALUE"""),"Minggu, 02/08/2026 s/d Minggu, 02/08/2026")</f>
        <v>Minggu, 02/08/2026 s/d Minggu, 02/08/2026</v>
      </c>
      <c r="G123" s="55">
        <f>IFERROR(__xludf.DUMMYFUNCTION("""COMPUTED_VALUE"""),3.0)</f>
        <v>3</v>
      </c>
      <c r="H123" s="54" t="str">
        <f>IFERROR(__xludf.DUMMYFUNCTION("""COMPUTED_VALUE"""),"08.00 s/d 16.00")</f>
        <v>08.00 s/d 16.00</v>
      </c>
      <c r="I123" s="54"/>
      <c r="J123" s="54"/>
      <c r="K123" s="54"/>
      <c r="L123" s="54"/>
      <c r="M123" s="54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>
      <c r="A124" s="61"/>
      <c r="B124" s="62"/>
      <c r="C124" s="63" t="str">
        <f>IFERROR(__xludf.DUMMYFUNCTION("""COMPUTED_VALUE"""),"Senin, 03/08/2026")</f>
        <v>Senin, 03/08/2026</v>
      </c>
      <c r="D124" s="63" t="str">
        <f>IFERROR(__xludf.DUMMYFUNCTION("""COMPUTED_VALUE"""),"Senin, 03/08/2026")</f>
        <v>Senin, 03/08/2026</v>
      </c>
      <c r="E124" s="62" t="str">
        <f>IFERROR(__xludf.DUMMYFUNCTION("""COMPUTED_VALUE"""),"Selesai")</f>
        <v>Selesai</v>
      </c>
      <c r="F124" s="62" t="str">
        <f>IFERROR(__xludf.DUMMYFUNCTION("""COMPUTED_VALUE"""),"Senin, 03/08/2026 s/d Senin, 03/08/2026")</f>
        <v>Senin, 03/08/2026 s/d Senin, 03/08/2026</v>
      </c>
      <c r="G124" s="61">
        <f>IFERROR(__xludf.DUMMYFUNCTION("""COMPUTED_VALUE"""),4.0)</f>
        <v>4</v>
      </c>
      <c r="H124" s="62" t="str">
        <f>IFERROR(__xludf.DUMMYFUNCTION("""COMPUTED_VALUE"""),"08.00 s/d 16.00")</f>
        <v>08.00 s/d 16.00</v>
      </c>
      <c r="I124" s="62"/>
      <c r="J124" s="62"/>
      <c r="K124" s="62"/>
      <c r="L124" s="62"/>
      <c r="M124" s="62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idden="1">
      <c r="A125" s="18"/>
      <c r="B125" s="18"/>
      <c r="C125" s="18"/>
      <c r="D125" s="18"/>
      <c r="E125" s="18"/>
      <c r="F125" s="18" t="str">
        <f>IFERROR(__xludf.DUMMYFUNCTION("""COMPUTED_VALUE"""),"")</f>
        <v/>
      </c>
      <c r="G125" s="64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>
      <c r="A126" s="58">
        <f>IFERROR(__xludf.DUMMYFUNCTION("""COMPUTED_VALUE"""),17.0)</f>
        <v>17</v>
      </c>
      <c r="B126" s="56" t="str">
        <f>IFERROR(__xludf.DUMMYFUNCTION("""COMPUTED_VALUE"""),"Peningkatan Jalan Ruas Jalan Karangkobar - Binangun")</f>
        <v>Peningkatan Jalan Ruas Jalan Karangkobar - Binangun</v>
      </c>
      <c r="C126" s="57" t="str">
        <f>IFERROR(__xludf.DUMMYFUNCTION("""COMPUTED_VALUE"""),"Kamis, 30/07/2026")</f>
        <v>Kamis, 30/07/2026</v>
      </c>
      <c r="D126" s="57" t="str">
        <f>IFERROR(__xludf.DUMMYFUNCTION("""COMPUTED_VALUE"""),"Kamis, 30/07/2026")</f>
        <v>Kamis, 30/07/2026</v>
      </c>
      <c r="E126" s="56" t="str">
        <f>IFERROR(__xludf.DUMMYFUNCTION("""COMPUTED_VALUE"""),"Selesai")</f>
        <v>Selesai</v>
      </c>
      <c r="F126" s="56" t="str">
        <f>IFERROR(__xludf.DUMMYFUNCTION("""COMPUTED_VALUE"""),"Kamis, 30/07/2026 s/d Kamis, 30/07/2026")</f>
        <v>Kamis, 30/07/2026 s/d Kamis, 30/07/2026</v>
      </c>
      <c r="G126" s="58">
        <f>IFERROR(__xludf.DUMMYFUNCTION("""COMPUTED_VALUE"""),1.0)</f>
        <v>1</v>
      </c>
      <c r="H126" s="56" t="str">
        <f>IFERROR(__xludf.DUMMYFUNCTION("""COMPUTED_VALUE"""),"08.00 s/d 19.00")</f>
        <v>08.00 s/d 19.00</v>
      </c>
      <c r="I126" s="56"/>
      <c r="J126" s="56"/>
      <c r="K126" s="56"/>
      <c r="L126" s="59" t="str">
        <f>IFERROR(__xludf.DUMMYFUNCTION("""COMPUTED_VALUE"""),"https://maps.app.goo.gl/o6UZTnUUJtEsJVxf8")</f>
        <v>https://maps.app.goo.gl/o6UZTnUUJtEsJVxf8</v>
      </c>
      <c r="M126" s="56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>
      <c r="A127" s="55"/>
      <c r="B127" s="54"/>
      <c r="C127" s="60" t="str">
        <f>IFERROR(__xludf.DUMMYFUNCTION("""COMPUTED_VALUE"""),"Jumat, 31/07/2026")</f>
        <v>Jumat, 31/07/2026</v>
      </c>
      <c r="D127" s="60" t="str">
        <f>IFERROR(__xludf.DUMMYFUNCTION("""COMPUTED_VALUE"""),"Jumat, 31/07/2026")</f>
        <v>Jumat, 31/07/2026</v>
      </c>
      <c r="E127" s="54" t="str">
        <f>IFERROR(__xludf.DUMMYFUNCTION("""COMPUTED_VALUE"""),"Selesai")</f>
        <v>Selesai</v>
      </c>
      <c r="F127" s="54" t="str">
        <f>IFERROR(__xludf.DUMMYFUNCTION("""COMPUTED_VALUE"""),"Jumat, 31/07/2026 s/d Jumat, 31/07/2026")</f>
        <v>Jumat, 31/07/2026 s/d Jumat, 31/07/2026</v>
      </c>
      <c r="G127" s="55">
        <f>IFERROR(__xludf.DUMMYFUNCTION("""COMPUTED_VALUE"""),2.0)</f>
        <v>2</v>
      </c>
      <c r="H127" s="54" t="str">
        <f>IFERROR(__xludf.DUMMYFUNCTION("""COMPUTED_VALUE"""),"08.00 s/d 17.00")</f>
        <v>08.00 s/d 17.00</v>
      </c>
      <c r="I127" s="54"/>
      <c r="J127" s="54"/>
      <c r="K127" s="54"/>
      <c r="L127" s="54"/>
      <c r="M127" s="54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>
      <c r="A128" s="55"/>
      <c r="B128" s="54"/>
      <c r="C128" s="60" t="str">
        <f>IFERROR(__xludf.DUMMYFUNCTION("""COMPUTED_VALUE"""),"Sabtu, 01/08/2026")</f>
        <v>Sabtu, 01/08/2026</v>
      </c>
      <c r="D128" s="60" t="str">
        <f>IFERROR(__xludf.DUMMYFUNCTION("""COMPUTED_VALUE"""),"Sabtu, 01/08/2026")</f>
        <v>Sabtu, 01/08/2026</v>
      </c>
      <c r="E128" s="54" t="str">
        <f>IFERROR(__xludf.DUMMYFUNCTION("""COMPUTED_VALUE"""),"Selesai")</f>
        <v>Selesai</v>
      </c>
      <c r="F128" s="54" t="str">
        <f>IFERROR(__xludf.DUMMYFUNCTION("""COMPUTED_VALUE"""),"Sabtu, 01/08/2026 s/d Sabtu, 01/08/2026")</f>
        <v>Sabtu, 01/08/2026 s/d Sabtu, 01/08/2026</v>
      </c>
      <c r="G128" s="55">
        <f>IFERROR(__xludf.DUMMYFUNCTION("""COMPUTED_VALUE"""),3.0)</f>
        <v>3</v>
      </c>
      <c r="H128" s="54" t="str">
        <f>IFERROR(__xludf.DUMMYFUNCTION("""COMPUTED_VALUE"""),"14.00 s/d 21.00")</f>
        <v>14.00 s/d 21.00</v>
      </c>
      <c r="I128" s="54"/>
      <c r="J128" s="54"/>
      <c r="K128" s="54"/>
      <c r="L128" s="54"/>
      <c r="M128" s="54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>
      <c r="A129" s="61"/>
      <c r="B129" s="62"/>
      <c r="C129" s="63" t="str">
        <f>IFERROR(__xludf.DUMMYFUNCTION("""COMPUTED_VALUE"""),"Senin, 03/08/2026")</f>
        <v>Senin, 03/08/2026</v>
      </c>
      <c r="D129" s="63" t="str">
        <f>IFERROR(__xludf.DUMMYFUNCTION("""COMPUTED_VALUE"""),"Senin, 03/08/2026")</f>
        <v>Senin, 03/08/2026</v>
      </c>
      <c r="E129" s="62" t="str">
        <f>IFERROR(__xludf.DUMMYFUNCTION("""COMPUTED_VALUE"""),"Selesai")</f>
        <v>Selesai</v>
      </c>
      <c r="F129" s="62" t="str">
        <f>IFERROR(__xludf.DUMMYFUNCTION("""COMPUTED_VALUE"""),"Senin, 03/08/2026 s/d Senin, 03/08/2026")</f>
        <v>Senin, 03/08/2026 s/d Senin, 03/08/2026</v>
      </c>
      <c r="G129" s="61">
        <f>IFERROR(__xludf.DUMMYFUNCTION("""COMPUTED_VALUE"""),4.0)</f>
        <v>4</v>
      </c>
      <c r="H129" s="62" t="str">
        <f>IFERROR(__xludf.DUMMYFUNCTION("""COMPUTED_VALUE"""),"08.00 s/d 12.00")</f>
        <v>08.00 s/d 12.00</v>
      </c>
      <c r="I129" s="62"/>
      <c r="J129" s="62"/>
      <c r="K129" s="62"/>
      <c r="L129" s="62"/>
      <c r="M129" s="62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idden="1">
      <c r="A130" s="18"/>
      <c r="B130" s="18"/>
      <c r="C130" s="18"/>
      <c r="D130" s="18"/>
      <c r="E130" s="18"/>
      <c r="F130" s="18" t="str">
        <f>IFERROR(__xludf.DUMMYFUNCTION("""COMPUTED_VALUE"""),"")</f>
        <v/>
      </c>
      <c r="G130" s="64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>
      <c r="A131" s="58">
        <f>IFERROR(__xludf.DUMMYFUNCTION("""COMPUTED_VALUE"""),18.0)</f>
        <v>18</v>
      </c>
      <c r="B131" s="56" t="str">
        <f>IFERROR(__xludf.DUMMYFUNCTION("""COMPUTED_VALUE"""),"Peningkatan Jalan Ruas Jalan Aribaya - Sokaraja")</f>
        <v>Peningkatan Jalan Ruas Jalan Aribaya - Sokaraja</v>
      </c>
      <c r="C131" s="65" t="str">
        <f>IFERROR(__xludf.DUMMYFUNCTION("""COMPUTED_VALUE"""),"Sabtu, 01/08/2026")</f>
        <v>Sabtu, 01/08/2026</v>
      </c>
      <c r="D131" s="65" t="str">
        <f>IFERROR(__xludf.DUMMYFUNCTION("""COMPUTED_VALUE"""),"Sabtu, 01/08/2026")</f>
        <v>Sabtu, 01/08/2026</v>
      </c>
      <c r="E131" s="56" t="str">
        <f>IFERROR(__xludf.DUMMYFUNCTION("""COMPUTED_VALUE"""),"Selesai")</f>
        <v>Selesai</v>
      </c>
      <c r="F131" s="56" t="str">
        <f>IFERROR(__xludf.DUMMYFUNCTION("""COMPUTED_VALUE"""),"Sabtu, 01/08/2026 s/d Sabtu, 01/08/2026")</f>
        <v>Sabtu, 01/08/2026 s/d Sabtu, 01/08/2026</v>
      </c>
      <c r="G131" s="58">
        <f>IFERROR(__xludf.DUMMYFUNCTION("""COMPUTED_VALUE"""),1.0)</f>
        <v>1</v>
      </c>
      <c r="H131" s="56" t="str">
        <f>IFERROR(__xludf.DUMMYFUNCTION("""COMPUTED_VALUE"""),"08.00 s/d 16.00")</f>
        <v>08.00 s/d 16.00</v>
      </c>
      <c r="I131" s="56"/>
      <c r="J131" s="56"/>
      <c r="K131" s="56"/>
      <c r="L131" s="59" t="str">
        <f>IFERROR(__xludf.DUMMYFUNCTION("""COMPUTED_VALUE"""),"https://maps.app.goo.gl/Zw3jXbCC2oNvRBY98")</f>
        <v>https://maps.app.goo.gl/Zw3jXbCC2oNvRBY98</v>
      </c>
      <c r="M131" s="56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>
      <c r="A132" s="55"/>
      <c r="B132" s="54"/>
      <c r="C132" s="60" t="str">
        <f>IFERROR(__xludf.DUMMYFUNCTION("""COMPUTED_VALUE"""),"Minggu, 02/08/2026")</f>
        <v>Minggu, 02/08/2026</v>
      </c>
      <c r="D132" s="60" t="str">
        <f>IFERROR(__xludf.DUMMYFUNCTION("""COMPUTED_VALUE"""),"Minggu, 02/08/2026")</f>
        <v>Minggu, 02/08/2026</v>
      </c>
      <c r="E132" s="54" t="str">
        <f>IFERROR(__xludf.DUMMYFUNCTION("""COMPUTED_VALUE"""),"Selesai")</f>
        <v>Selesai</v>
      </c>
      <c r="F132" s="54" t="str">
        <f>IFERROR(__xludf.DUMMYFUNCTION("""COMPUTED_VALUE"""),"Minggu, 02/08/2026 s/d Minggu, 02/08/2026")</f>
        <v>Minggu, 02/08/2026 s/d Minggu, 02/08/2026</v>
      </c>
      <c r="G132" s="55">
        <f>IFERROR(__xludf.DUMMYFUNCTION("""COMPUTED_VALUE"""),2.0)</f>
        <v>2</v>
      </c>
      <c r="H132" s="54" t="str">
        <f>IFERROR(__xludf.DUMMYFUNCTION("""COMPUTED_VALUE"""),"08.00 s/d 16.00")</f>
        <v>08.00 s/d 16.00</v>
      </c>
      <c r="I132" s="54"/>
      <c r="J132" s="54"/>
      <c r="K132" s="54"/>
      <c r="L132" s="54"/>
      <c r="M132" s="54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>
      <c r="A133" s="55"/>
      <c r="B133" s="54"/>
      <c r="C133" s="60" t="str">
        <f>IFERROR(__xludf.DUMMYFUNCTION("""COMPUTED_VALUE"""),"Senin, 03/08/2026")</f>
        <v>Senin, 03/08/2026</v>
      </c>
      <c r="D133" s="60" t="str">
        <f>IFERROR(__xludf.DUMMYFUNCTION("""COMPUTED_VALUE"""),"Senin, 03/08/2026")</f>
        <v>Senin, 03/08/2026</v>
      </c>
      <c r="E133" s="54" t="str">
        <f>IFERROR(__xludf.DUMMYFUNCTION("""COMPUTED_VALUE"""),"Selesai")</f>
        <v>Selesai</v>
      </c>
      <c r="F133" s="54" t="str">
        <f>IFERROR(__xludf.DUMMYFUNCTION("""COMPUTED_VALUE"""),"Senin, 03/08/2026 s/d Senin, 03/08/2026")</f>
        <v>Senin, 03/08/2026 s/d Senin, 03/08/2026</v>
      </c>
      <c r="G133" s="55">
        <f>IFERROR(__xludf.DUMMYFUNCTION("""COMPUTED_VALUE"""),3.0)</f>
        <v>3</v>
      </c>
      <c r="H133" s="54" t="str">
        <f>IFERROR(__xludf.DUMMYFUNCTION("""COMPUTED_VALUE"""),"08.00 s/d 16.00")</f>
        <v>08.00 s/d 16.00</v>
      </c>
      <c r="I133" s="54"/>
      <c r="J133" s="54"/>
      <c r="K133" s="54"/>
      <c r="L133" s="54"/>
      <c r="M133" s="54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>
      <c r="A134" s="55"/>
      <c r="B134" s="54"/>
      <c r="C134" s="60" t="str">
        <f>IFERROR(__xludf.DUMMYFUNCTION("""COMPUTED_VALUE"""),"Selasa, 04/08/2026")</f>
        <v>Selasa, 04/08/2026</v>
      </c>
      <c r="D134" s="60" t="str">
        <f>IFERROR(__xludf.DUMMYFUNCTION("""COMPUTED_VALUE"""),"Selasa, 04/08/2026")</f>
        <v>Selasa, 04/08/2026</v>
      </c>
      <c r="E134" s="54" t="str">
        <f>IFERROR(__xludf.DUMMYFUNCTION("""COMPUTED_VALUE"""),"Selesai")</f>
        <v>Selesai</v>
      </c>
      <c r="F134" s="54" t="str">
        <f>IFERROR(__xludf.DUMMYFUNCTION("""COMPUTED_VALUE"""),"Selasa, 04/08/2026 s/d Selasa, 04/08/2026")</f>
        <v>Selasa, 04/08/2026 s/d Selasa, 04/08/2026</v>
      </c>
      <c r="G134" s="55">
        <f>IFERROR(__xludf.DUMMYFUNCTION("""COMPUTED_VALUE"""),4.0)</f>
        <v>4</v>
      </c>
      <c r="H134" s="54" t="str">
        <f>IFERROR(__xludf.DUMMYFUNCTION("""COMPUTED_VALUE"""),"08.00 s/d 16.00")</f>
        <v>08.00 s/d 16.00</v>
      </c>
      <c r="I134" s="54"/>
      <c r="J134" s="54"/>
      <c r="K134" s="54"/>
      <c r="L134" s="54"/>
      <c r="M134" s="54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>
      <c r="A135" s="61"/>
      <c r="B135" s="62"/>
      <c r="C135" s="66" t="str">
        <f>IFERROR(__xludf.DUMMYFUNCTION("""COMPUTED_VALUE"""),"Rabu, 05/08/2026")</f>
        <v>Rabu, 05/08/2026</v>
      </c>
      <c r="D135" s="66" t="str">
        <f>IFERROR(__xludf.DUMMYFUNCTION("""COMPUTED_VALUE"""),"Rabu, 05/08/2026")</f>
        <v>Rabu, 05/08/2026</v>
      </c>
      <c r="E135" s="62" t="str">
        <f>IFERROR(__xludf.DUMMYFUNCTION("""COMPUTED_VALUE"""),"Selesai")</f>
        <v>Selesai</v>
      </c>
      <c r="F135" s="62" t="str">
        <f>IFERROR(__xludf.DUMMYFUNCTION("""COMPUTED_VALUE"""),"Rabu, 05/08/2026 s/d Rabu, 05/08/2026")</f>
        <v>Rabu, 05/08/2026 s/d Rabu, 05/08/2026</v>
      </c>
      <c r="G135" s="61">
        <f>IFERROR(__xludf.DUMMYFUNCTION("""COMPUTED_VALUE"""),5.0)</f>
        <v>5</v>
      </c>
      <c r="H135" s="62" t="str">
        <f>IFERROR(__xludf.DUMMYFUNCTION("""COMPUTED_VALUE"""),"08.00 s/d 16.00")</f>
        <v>08.00 s/d 16.00</v>
      </c>
      <c r="I135" s="62"/>
      <c r="J135" s="62"/>
      <c r="K135" s="62"/>
      <c r="L135" s="62"/>
      <c r="M135" s="62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idden="1">
      <c r="A136" s="18"/>
      <c r="B136" s="18"/>
      <c r="C136" s="18"/>
      <c r="D136" s="18"/>
      <c r="E136" s="18"/>
      <c r="F136" s="18" t="str">
        <f>IFERROR(__xludf.DUMMYFUNCTION("""COMPUTED_VALUE"""),"")</f>
        <v/>
      </c>
      <c r="G136" s="64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>
      <c r="A137" s="31">
        <f>IFERROR(__xludf.DUMMYFUNCTION("""COMPUTED_VALUE"""),19.0)</f>
        <v>19</v>
      </c>
      <c r="B137" s="15" t="str">
        <f>IFERROR(__xludf.DUMMYFUNCTION("""COMPUTED_VALUE"""),"Peningkatan Jalan Ruas Jalan Clapar - Nagasari")</f>
        <v>Peningkatan Jalan Ruas Jalan Clapar - Nagasari</v>
      </c>
      <c r="C137" s="30" t="str">
        <f>IFERROR(__xludf.DUMMYFUNCTION("""COMPUTED_VALUE"""),"Senin, 03/08/2026")</f>
        <v>Senin, 03/08/2026</v>
      </c>
      <c r="D137" s="30" t="str">
        <f>IFERROR(__xludf.DUMMYFUNCTION("""COMPUTED_VALUE"""),"Senin, 03/08/2026")</f>
        <v>Senin, 03/08/2026</v>
      </c>
      <c r="E137" s="15" t="str">
        <f>IFERROR(__xludf.DUMMYFUNCTION("""COMPUTED_VALUE"""),"Selesai")</f>
        <v>Selesai</v>
      </c>
      <c r="F137" s="15" t="str">
        <f>IFERROR(__xludf.DUMMYFUNCTION("""COMPUTED_VALUE"""),"Senin, 03/08/2026 s/d Senin, 03/08/2026")</f>
        <v>Senin, 03/08/2026 s/d Senin, 03/08/2026</v>
      </c>
      <c r="G137" s="31">
        <f>IFERROR(__xludf.DUMMYFUNCTION("""COMPUTED_VALUE"""),1.0)</f>
        <v>1</v>
      </c>
      <c r="H137" s="15" t="str">
        <f>IFERROR(__xludf.DUMMYFUNCTION("""COMPUTED_VALUE"""),"08.00 s/d 16.00")</f>
        <v>08.00 s/d 16.00</v>
      </c>
      <c r="I137" s="15"/>
      <c r="J137" s="15"/>
      <c r="K137" s="15"/>
      <c r="L137" s="33" t="str">
        <f>IFERROR(__xludf.DUMMYFUNCTION("""COMPUTED_VALUE"""),"https://maps.app.goo.gl/zYysKr53umgahdai9")</f>
        <v>https://maps.app.goo.gl/zYysKr53umgahdai9</v>
      </c>
      <c r="M137" s="15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idden="1">
      <c r="A138" s="15"/>
      <c r="B138" s="15"/>
      <c r="C138" s="15"/>
      <c r="D138" s="15"/>
      <c r="E138" s="15"/>
      <c r="F138" s="15" t="str">
        <f>IFERROR(__xludf.DUMMYFUNCTION("""COMPUTED_VALUE"""),"")</f>
        <v/>
      </c>
      <c r="G138" s="31"/>
      <c r="H138" s="15"/>
      <c r="I138" s="15"/>
      <c r="J138" s="15"/>
      <c r="K138" s="15"/>
      <c r="L138" s="15"/>
      <c r="M138" s="15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>
      <c r="A139" s="31">
        <f>IFERROR(__xludf.DUMMYFUNCTION("""COMPUTED_VALUE"""),20.0)</f>
        <v>20</v>
      </c>
      <c r="B139" s="15" t="str">
        <f>IFERROR(__xludf.DUMMYFUNCTION("""COMPUTED_VALUE"""),"Peningkatan Jalan Ruas Jalan Pagedongan - Pesangkalan")</f>
        <v>Peningkatan Jalan Ruas Jalan Pagedongan - Pesangkalan</v>
      </c>
      <c r="C139" s="30" t="str">
        <f>IFERROR(__xludf.DUMMYFUNCTION("""COMPUTED_VALUE"""),"Rabu, 05/08/2026")</f>
        <v>Rabu, 05/08/2026</v>
      </c>
      <c r="D139" s="30" t="str">
        <f>IFERROR(__xludf.DUMMYFUNCTION("""COMPUTED_VALUE"""),"Rabu, 05/08/2026")</f>
        <v>Rabu, 05/08/2026</v>
      </c>
      <c r="E139" s="15" t="str">
        <f>IFERROR(__xludf.DUMMYFUNCTION("""COMPUTED_VALUE"""),"Selesai")</f>
        <v>Selesai</v>
      </c>
      <c r="F139" s="15" t="str">
        <f>IFERROR(__xludf.DUMMYFUNCTION("""COMPUTED_VALUE"""),"Rabu, 05/08/2026 s/d Rabu, 05/08/2026")</f>
        <v>Rabu, 05/08/2026 s/d Rabu, 05/08/2026</v>
      </c>
      <c r="G139" s="31">
        <f>IFERROR(__xludf.DUMMYFUNCTION("""COMPUTED_VALUE"""),1.0)</f>
        <v>1</v>
      </c>
      <c r="H139" s="15" t="str">
        <f>IFERROR(__xludf.DUMMYFUNCTION("""COMPUTED_VALUE"""),"08.00 s/d 16.00")</f>
        <v>08.00 s/d 16.00</v>
      </c>
      <c r="I139" s="15"/>
      <c r="J139" s="15"/>
      <c r="K139" s="15"/>
      <c r="L139" s="33" t="str">
        <f>IFERROR(__xludf.DUMMYFUNCTION("""COMPUTED_VALUE"""),"https://maps.app.goo.gl/e6ujbjqfKRdDfwvH9")</f>
        <v>https://maps.app.goo.gl/e6ujbjqfKRdDfwvH9</v>
      </c>
      <c r="M139" s="15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idden="1">
      <c r="A140" s="18"/>
      <c r="B140" s="18"/>
      <c r="C140" s="18"/>
      <c r="D140" s="18"/>
      <c r="E140" s="18"/>
      <c r="F140" s="18" t="str">
        <f>IFERROR(__xludf.DUMMYFUNCTION("""COMPUTED_VALUE"""),"")</f>
        <v/>
      </c>
      <c r="G140" s="64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>
      <c r="A141" s="31">
        <f>IFERROR(__xludf.DUMMYFUNCTION("""COMPUTED_VALUE"""),21.0)</f>
        <v>21</v>
      </c>
      <c r="B141" s="15" t="str">
        <f>IFERROR(__xludf.DUMMYFUNCTION("""COMPUTED_VALUE"""),"Peningkatan Jalan Ruas Jalan Bendawuluh - Mlaya")</f>
        <v>Peningkatan Jalan Ruas Jalan Bendawuluh - Mlaya</v>
      </c>
      <c r="C141" s="30" t="str">
        <f>IFERROR(__xludf.DUMMYFUNCTION("""COMPUTED_VALUE"""),"Rabu, 05/08/2026")</f>
        <v>Rabu, 05/08/2026</v>
      </c>
      <c r="D141" s="30" t="str">
        <f>IFERROR(__xludf.DUMMYFUNCTION("""COMPUTED_VALUE"""),"Rabu, 05/08/2026")</f>
        <v>Rabu, 05/08/2026</v>
      </c>
      <c r="E141" s="15" t="str">
        <f>IFERROR(__xludf.DUMMYFUNCTION("""COMPUTED_VALUE"""),"Selesai")</f>
        <v>Selesai</v>
      </c>
      <c r="F141" s="15" t="str">
        <f>IFERROR(__xludf.DUMMYFUNCTION("""COMPUTED_VALUE"""),"Rabu, 05/08/2026 s/d Rabu, 05/08/2026")</f>
        <v>Rabu, 05/08/2026 s/d Rabu, 05/08/2026</v>
      </c>
      <c r="G141" s="31">
        <f>IFERROR(__xludf.DUMMYFUNCTION("""COMPUTED_VALUE"""),1.0)</f>
        <v>1</v>
      </c>
      <c r="H141" s="15" t="str">
        <f>IFERROR(__xludf.DUMMYFUNCTION("""COMPUTED_VALUE"""),"08.00 s/d 16.00")</f>
        <v>08.00 s/d 16.00</v>
      </c>
      <c r="I141" s="15"/>
      <c r="J141" s="15"/>
      <c r="K141" s="15"/>
      <c r="L141" s="33" t="str">
        <f>IFERROR(__xludf.DUMMYFUNCTION("""COMPUTED_VALUE"""),"https://maps.app.goo.gl/b4Bc6q5YM5FkgEGM6")</f>
        <v>https://maps.app.goo.gl/b4Bc6q5YM5FkgEGM6</v>
      </c>
      <c r="M141" s="15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idden="1">
      <c r="A142" s="18"/>
      <c r="B142" s="18"/>
      <c r="C142" s="18"/>
      <c r="D142" s="18"/>
      <c r="E142" s="18"/>
      <c r="F142" s="18" t="str">
        <f>IFERROR(__xludf.DUMMYFUNCTION("""COMPUTED_VALUE"""),"")</f>
        <v/>
      </c>
      <c r="G142" s="64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>
      <c r="A143" s="31">
        <f>IFERROR(__xludf.DUMMYFUNCTION("""COMPUTED_VALUE"""),22.0)</f>
        <v>22</v>
      </c>
      <c r="B143" s="15" t="str">
        <f>IFERROR(__xludf.DUMMYFUNCTION("""COMPUTED_VALUE"""),"Peningkatan Jalan Ruas Jalan Semampir - Pucang")</f>
        <v>Peningkatan Jalan Ruas Jalan Semampir - Pucang</v>
      </c>
      <c r="C143" s="30" t="str">
        <f>IFERROR(__xludf.DUMMYFUNCTION("""COMPUTED_VALUE"""),"Sabtu, 15/08/2026")</f>
        <v>Sabtu, 15/08/2026</v>
      </c>
      <c r="D143" s="30" t="str">
        <f>IFERROR(__xludf.DUMMYFUNCTION("""COMPUTED_VALUE"""),"Sabtu, 15/08/2026")</f>
        <v>Sabtu, 15/08/2026</v>
      </c>
      <c r="E143" s="15" t="str">
        <f>IFERROR(__xludf.DUMMYFUNCTION("""COMPUTED_VALUE"""),"Selesai")</f>
        <v>Selesai</v>
      </c>
      <c r="F143" s="15" t="str">
        <f>IFERROR(__xludf.DUMMYFUNCTION("""COMPUTED_VALUE"""),"Sabtu, 15/08/2026 s/d Sabtu, 15/08/2026")</f>
        <v>Sabtu, 15/08/2026 s/d Sabtu, 15/08/2026</v>
      </c>
      <c r="G143" s="31">
        <f>IFERROR(__xludf.DUMMYFUNCTION("""COMPUTED_VALUE"""),1.0)</f>
        <v>1</v>
      </c>
      <c r="H143" s="15" t="str">
        <f>IFERROR(__xludf.DUMMYFUNCTION("""COMPUTED_VALUE"""),"08.00 s/d 16.00")</f>
        <v>08.00 s/d 16.00</v>
      </c>
      <c r="I143" s="15"/>
      <c r="J143" s="15"/>
      <c r="K143" s="15"/>
      <c r="L143" s="33" t="str">
        <f>IFERROR(__xludf.DUMMYFUNCTION("""COMPUTED_VALUE"""),"https://maps.app.goo.gl/ufzVXswzWRvDS9mT7")</f>
        <v>https://maps.app.goo.gl/ufzVXswzWRvDS9mT7</v>
      </c>
      <c r="M143" s="15" t="str">
        <f>IFERROR(__xludf.DUMMYFUNCTION("""COMPUTED_VALUE"""),"Trial Compaction")</f>
        <v>Trial Compaction</v>
      </c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idden="1">
      <c r="A144" s="18"/>
      <c r="B144" s="18"/>
      <c r="C144" s="18"/>
      <c r="D144" s="18"/>
      <c r="E144" s="18"/>
      <c r="F144" s="18" t="str">
        <f>IFERROR(__xludf.DUMMYFUNCTION("""COMPUTED_VALUE"""),"")</f>
        <v/>
      </c>
      <c r="G144" s="64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>
      <c r="A145" s="58">
        <f>IFERROR(__xludf.DUMMYFUNCTION("""COMPUTED_VALUE"""),23.0)</f>
        <v>23</v>
      </c>
      <c r="B145" s="56" t="str">
        <f>IFERROR(__xludf.DUMMYFUNCTION("""COMPUTED_VALUE"""),"Pemeliharaan Jalan Ruas Jalan Wanakarsa - Sipedang")</f>
        <v>Pemeliharaan Jalan Ruas Jalan Wanakarsa - Sipedang</v>
      </c>
      <c r="C145" s="57" t="str">
        <f>IFERROR(__xludf.DUMMYFUNCTION("""COMPUTED_VALUE"""),"Rabu, 19/08/2026")</f>
        <v>Rabu, 19/08/2026</v>
      </c>
      <c r="D145" s="57" t="str">
        <f>IFERROR(__xludf.DUMMYFUNCTION("""COMPUTED_VALUE"""),"Rabu, 19/08/2026")</f>
        <v>Rabu, 19/08/2026</v>
      </c>
      <c r="E145" s="56" t="str">
        <f>IFERROR(__xludf.DUMMYFUNCTION("""COMPUTED_VALUE"""),"Selesai")</f>
        <v>Selesai</v>
      </c>
      <c r="F145" s="56" t="str">
        <f>IFERROR(__xludf.DUMMYFUNCTION("""COMPUTED_VALUE"""),"Rabu, 19/08/2026 s/d Rabu, 19/08/2026")</f>
        <v>Rabu, 19/08/2026 s/d Rabu, 19/08/2026</v>
      </c>
      <c r="G145" s="58">
        <f>IFERROR(__xludf.DUMMYFUNCTION("""COMPUTED_VALUE"""),1.0)</f>
        <v>1</v>
      </c>
      <c r="H145" s="56" t="str">
        <f>IFERROR(__xludf.DUMMYFUNCTION("""COMPUTED_VALUE"""),"12.00 s/d 16.00")</f>
        <v>12.00 s/d 16.00</v>
      </c>
      <c r="I145" s="56"/>
      <c r="J145" s="56"/>
      <c r="K145" s="56"/>
      <c r="L145" s="59" t="str">
        <f>IFERROR(__xludf.DUMMYFUNCTION("""COMPUTED_VALUE"""),"https://maps.app.goo.gl/dNjJNjt3JAa9pVUU6")</f>
        <v>https://maps.app.goo.gl/dNjJNjt3JAa9pVUU6</v>
      </c>
      <c r="M145" s="56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>
      <c r="A146" s="62"/>
      <c r="B146" s="62"/>
      <c r="C146" s="63" t="str">
        <f>IFERROR(__xludf.DUMMYFUNCTION("""COMPUTED_VALUE"""),"Kamis, 20/08/2026")</f>
        <v>Kamis, 20/08/2026</v>
      </c>
      <c r="D146" s="63" t="str">
        <f>IFERROR(__xludf.DUMMYFUNCTION("""COMPUTED_VALUE"""),"Kamis, 20/08/2026")</f>
        <v>Kamis, 20/08/2026</v>
      </c>
      <c r="E146" s="62" t="str">
        <f>IFERROR(__xludf.DUMMYFUNCTION("""COMPUTED_VALUE"""),"Selesai")</f>
        <v>Selesai</v>
      </c>
      <c r="F146" s="62" t="str">
        <f>IFERROR(__xludf.DUMMYFUNCTION("""COMPUTED_VALUE"""),"Kamis, 20/08/2026 s/d Kamis, 20/08/2026")</f>
        <v>Kamis, 20/08/2026 s/d Kamis, 20/08/2026</v>
      </c>
      <c r="G146" s="61">
        <f>IFERROR(__xludf.DUMMYFUNCTION("""COMPUTED_VALUE"""),2.0)</f>
        <v>2</v>
      </c>
      <c r="H146" s="62" t="str">
        <f>IFERROR(__xludf.DUMMYFUNCTION("""COMPUTED_VALUE"""),"08.00 s/d 16.00")</f>
        <v>08.00 s/d 16.00</v>
      </c>
      <c r="I146" s="62"/>
      <c r="J146" s="62"/>
      <c r="K146" s="62"/>
      <c r="L146" s="62"/>
      <c r="M146" s="62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idden="1">
      <c r="A147" s="18"/>
      <c r="B147" s="18"/>
      <c r="C147" s="18"/>
      <c r="D147" s="18"/>
      <c r="E147" s="18"/>
      <c r="F147" s="18" t="str">
        <f>IFERROR(__xludf.DUMMYFUNCTION("""COMPUTED_VALUE"""),"")</f>
        <v/>
      </c>
      <c r="G147" s="64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>
      <c r="A148" s="15">
        <f>IFERROR(__xludf.DUMMYFUNCTION("""COMPUTED_VALUE"""),24.0)</f>
        <v>24</v>
      </c>
      <c r="B148" s="67" t="str">
        <f>IFERROR(__xludf.DUMMYFUNCTION("""COMPUTED_VALUE"""),"Peningkatan Jalan Ruas Jalan Petir - Krinjing")</f>
        <v>Peningkatan Jalan Ruas Jalan Petir - Krinjing</v>
      </c>
      <c r="C148" s="68" t="str">
        <f>IFERROR(__xludf.DUMMYFUNCTION("""COMPUTED_VALUE"""),"Jumat, 21/08/2026")</f>
        <v>Jumat, 21/08/2026</v>
      </c>
      <c r="D148" s="68" t="str">
        <f>IFERROR(__xludf.DUMMYFUNCTION("""COMPUTED_VALUE"""),"Jumat, 21/08/2026")</f>
        <v>Jumat, 21/08/2026</v>
      </c>
      <c r="E148" s="67" t="str">
        <f>IFERROR(__xludf.DUMMYFUNCTION("""COMPUTED_VALUE"""),"Jadwal")</f>
        <v>Jadwal</v>
      </c>
      <c r="F148" s="67" t="str">
        <f>IFERROR(__xludf.DUMMYFUNCTION("""COMPUTED_VALUE"""),"Jumat, 21/08/2026 s/d Jumat, 21/08/2026")</f>
        <v>Jumat, 21/08/2026 s/d Jumat, 21/08/2026</v>
      </c>
      <c r="G148" s="31">
        <f>IFERROR(__xludf.DUMMYFUNCTION("""COMPUTED_VALUE"""),1.0)</f>
        <v>1</v>
      </c>
      <c r="H148" s="15" t="str">
        <f>IFERROR(__xludf.DUMMYFUNCTION("""COMPUTED_VALUE"""),"12.00 s/d 16.00")</f>
        <v>12.00 s/d 16.00</v>
      </c>
      <c r="I148" s="15"/>
      <c r="J148" s="15"/>
      <c r="K148" s="15"/>
      <c r="L148" s="33" t="str">
        <f>IFERROR(__xludf.DUMMYFUNCTION("""COMPUTED_VALUE"""),"https://maps.app.goo.gl/n9TBYZkoyBh7ZZnZA")</f>
        <v>https://maps.app.goo.gl/n9TBYZkoyBh7ZZnZA</v>
      </c>
      <c r="M148" s="15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idden="1">
      <c r="A149" s="15"/>
      <c r="B149" s="15"/>
      <c r="C149" s="15"/>
      <c r="D149" s="15"/>
      <c r="E149" s="15"/>
      <c r="F149" s="15" t="str">
        <f>IFERROR(__xludf.DUMMYFUNCTION("""COMPUTED_VALUE"""),"")</f>
        <v/>
      </c>
      <c r="G149" s="31"/>
      <c r="H149" s="15"/>
      <c r="I149" s="15"/>
      <c r="J149" s="15"/>
      <c r="K149" s="15"/>
      <c r="L149" s="15"/>
      <c r="M149" s="15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idden="1">
      <c r="A150" s="15"/>
      <c r="B150" s="15"/>
      <c r="C150" s="15"/>
      <c r="D150" s="15"/>
      <c r="E150" s="15"/>
      <c r="F150" s="15" t="str">
        <f>IFERROR(__xludf.DUMMYFUNCTION("""COMPUTED_VALUE"""),"")</f>
        <v/>
      </c>
      <c r="G150" s="31"/>
      <c r="H150" s="15"/>
      <c r="I150" s="15"/>
      <c r="J150" s="15"/>
      <c r="K150" s="15"/>
      <c r="L150" s="15"/>
      <c r="M150" s="15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idden="1">
      <c r="A151" s="15"/>
      <c r="B151" s="15"/>
      <c r="C151" s="15"/>
      <c r="D151" s="15"/>
      <c r="E151" s="15"/>
      <c r="F151" s="15" t="str">
        <f>IFERROR(__xludf.DUMMYFUNCTION("""COMPUTED_VALUE"""),"")</f>
        <v/>
      </c>
      <c r="G151" s="31"/>
      <c r="H151" s="15"/>
      <c r="I151" s="15"/>
      <c r="J151" s="15"/>
      <c r="K151" s="15"/>
      <c r="L151" s="15"/>
      <c r="M151" s="15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>
      <c r="A152" s="15">
        <f>IFERROR(__xludf.DUMMYFUNCTION("""COMPUTED_VALUE"""),25.0)</f>
        <v>25</v>
      </c>
      <c r="B152" s="67" t="str">
        <f>IFERROR(__xludf.DUMMYFUNCTION("""COMPUTED_VALUE"""),"Peningkatan Jalan Ruas Jalan Lawen - Pingitlor")</f>
        <v>Peningkatan Jalan Ruas Jalan Lawen - Pingitlor</v>
      </c>
      <c r="C152" s="68" t="str">
        <f>IFERROR(__xludf.DUMMYFUNCTION("""COMPUTED_VALUE"""),"Jumat, 21/08/2026")</f>
        <v>Jumat, 21/08/2026</v>
      </c>
      <c r="D152" s="68" t="str">
        <f>IFERROR(__xludf.DUMMYFUNCTION("""COMPUTED_VALUE"""),"Jumat, 21/08/2026")</f>
        <v>Jumat, 21/08/2026</v>
      </c>
      <c r="E152" s="67" t="str">
        <f>IFERROR(__xludf.DUMMYFUNCTION("""COMPUTED_VALUE"""),"Jadwal")</f>
        <v>Jadwal</v>
      </c>
      <c r="F152" s="67" t="str">
        <f>IFERROR(__xludf.DUMMYFUNCTION("""COMPUTED_VALUE"""),"Jumat, 21/08/2026 s/d Jumat, 21/08/2026")</f>
        <v>Jumat, 21/08/2026 s/d Jumat, 21/08/2026</v>
      </c>
      <c r="G152" s="31">
        <f>IFERROR(__xludf.DUMMYFUNCTION("""COMPUTED_VALUE"""),1.0)</f>
        <v>1</v>
      </c>
      <c r="H152" s="15" t="str">
        <f>IFERROR(__xludf.DUMMYFUNCTION("""COMPUTED_VALUE"""),"12.00 s/d 16.00")</f>
        <v>12.00 s/d 16.00</v>
      </c>
      <c r="I152" s="15"/>
      <c r="J152" s="15"/>
      <c r="K152" s="15"/>
      <c r="L152" s="15"/>
      <c r="M152" s="15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idden="1">
      <c r="A153" s="18"/>
      <c r="B153" s="18"/>
      <c r="C153" s="18"/>
      <c r="D153" s="18"/>
      <c r="E153" s="18"/>
      <c r="F153" s="18" t="str">
        <f>IFERROR(__xludf.DUMMYFUNCTION("""COMPUTED_VALUE"""),"")</f>
        <v/>
      </c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idden="1">
      <c r="A154" s="18"/>
      <c r="B154" s="18"/>
      <c r="C154" s="18"/>
      <c r="D154" s="18"/>
      <c r="E154" s="18"/>
      <c r="F154" s="18" t="str">
        <f>IFERROR(__xludf.DUMMYFUNCTION("""COMPUTED_VALUE"""),"")</f>
        <v/>
      </c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idden="1">
      <c r="A155" s="18"/>
      <c r="B155" s="18"/>
      <c r="C155" s="18"/>
      <c r="D155" s="18"/>
      <c r="E155" s="18"/>
      <c r="F155" s="18" t="str">
        <f>IFERROR(__xludf.DUMMYFUNCTION("""COMPUTED_VALUE"""),"")</f>
        <v/>
      </c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idden="1">
      <c r="A156" s="18"/>
      <c r="B156" s="18"/>
      <c r="C156" s="18"/>
      <c r="D156" s="18"/>
      <c r="E156" s="18"/>
      <c r="F156" s="18" t="str">
        <f>IFERROR(__xludf.DUMMYFUNCTION("""COMPUTED_VALUE"""),"")</f>
        <v/>
      </c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idden="1">
      <c r="A157" s="18"/>
      <c r="B157" s="18"/>
      <c r="C157" s="18"/>
      <c r="D157" s="18"/>
      <c r="E157" s="18"/>
      <c r="F157" s="18" t="str">
        <f>IFERROR(__xludf.DUMMYFUNCTION("""COMPUTED_VALUE"""),"")</f>
        <v/>
      </c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idden="1">
      <c r="A158" s="18"/>
      <c r="B158" s="18"/>
      <c r="C158" s="18"/>
      <c r="D158" s="18"/>
      <c r="E158" s="18"/>
      <c r="F158" s="18" t="str">
        <f>IFERROR(__xludf.DUMMYFUNCTION("""COMPUTED_VALUE"""),"")</f>
        <v/>
      </c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idden="1">
      <c r="A159" s="18"/>
      <c r="B159" s="18"/>
      <c r="C159" s="18"/>
      <c r="D159" s="18"/>
      <c r="E159" s="18"/>
      <c r="F159" s="18" t="str">
        <f>IFERROR(__xludf.DUMMYFUNCTION("""COMPUTED_VALUE"""),"")</f>
        <v/>
      </c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idden="1">
      <c r="A160" s="18"/>
      <c r="B160" s="18"/>
      <c r="C160" s="18"/>
      <c r="D160" s="18"/>
      <c r="E160" s="18"/>
      <c r="F160" s="18" t="str">
        <f>IFERROR(__xludf.DUMMYFUNCTION("""COMPUTED_VALUE"""),"")</f>
        <v/>
      </c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idden="1">
      <c r="A161" s="18"/>
      <c r="B161" s="18"/>
      <c r="C161" s="18"/>
      <c r="D161" s="18"/>
      <c r="E161" s="18"/>
      <c r="F161" s="18" t="str">
        <f>IFERROR(__xludf.DUMMYFUNCTION("""COMPUTED_VALUE"""),"")</f>
        <v/>
      </c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idden="1">
      <c r="A162" s="18"/>
      <c r="B162" s="18"/>
      <c r="C162" s="18"/>
      <c r="D162" s="18"/>
      <c r="E162" s="18"/>
      <c r="F162" s="18" t="str">
        <f>IFERROR(__xludf.DUMMYFUNCTION("""COMPUTED_VALUE"""),"")</f>
        <v/>
      </c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idden="1">
      <c r="A163" s="18"/>
      <c r="B163" s="18"/>
      <c r="C163" s="18"/>
      <c r="D163" s="18"/>
      <c r="E163" s="18"/>
      <c r="F163" s="18" t="str">
        <f>IFERROR(__xludf.DUMMYFUNCTION("""COMPUTED_VALUE"""),"")</f>
        <v/>
      </c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idden="1">
      <c r="A164" s="18"/>
      <c r="B164" s="18"/>
      <c r="C164" s="18"/>
      <c r="D164" s="18"/>
      <c r="E164" s="18"/>
      <c r="F164" s="18" t="str">
        <f>IFERROR(__xludf.DUMMYFUNCTION("""COMPUTED_VALUE"""),"")</f>
        <v/>
      </c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idden="1">
      <c r="A165" s="18"/>
      <c r="B165" s="18"/>
      <c r="C165" s="18"/>
      <c r="D165" s="18"/>
      <c r="E165" s="18"/>
      <c r="F165" s="18" t="str">
        <f>IFERROR(__xludf.DUMMYFUNCTION("""COMPUTED_VALUE"""),"")</f>
        <v/>
      </c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idden="1">
      <c r="A166" s="18"/>
      <c r="B166" s="18"/>
      <c r="C166" s="18"/>
      <c r="D166" s="18"/>
      <c r="E166" s="18"/>
      <c r="F166" s="18" t="str">
        <f>IFERROR(__xludf.DUMMYFUNCTION("""COMPUTED_VALUE"""),"")</f>
        <v/>
      </c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idden="1">
      <c r="A167" s="18"/>
      <c r="B167" s="18"/>
      <c r="C167" s="18"/>
      <c r="D167" s="18"/>
      <c r="E167" s="18"/>
      <c r="F167" s="18" t="str">
        <f>IFERROR(__xludf.DUMMYFUNCTION("""COMPUTED_VALUE"""),"")</f>
        <v/>
      </c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idden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idden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idden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idden="1">
      <c r="A171" s="18"/>
      <c r="B171" s="69" t="str">
        <f>IFERROR(__xludf.DUMMYFUNCTION("""COMPUTED_VALUE"""),"https://docs.google.com/spreadsheets/d/1YvRj1nmyiR_w9asJZv5l94O9wgQbIqx1I0d_bJjr_mM/edit?gid=0#gid=0")</f>
        <v>https://docs.google.com/spreadsheets/d/1YvRj1nmyiR_w9asJZv5l94O9wgQbIqx1I0d_bJjr_mM/edit?gid=0#gid=0</v>
      </c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idden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idden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idden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idden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idden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idden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idden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idden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idden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idden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idden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idden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idden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idden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idden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idden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idden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idden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idden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idden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idden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idden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idden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idden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idden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idden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idden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idden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idden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>
      <c r="A201" s="70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70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70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70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70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70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70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70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70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70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70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70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70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70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70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70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70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70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70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70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70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70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70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70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70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70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70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70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70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70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70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70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70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70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70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</sheetData>
  <autoFilter ref="$A$4:$M$200">
    <filterColumn colId="5">
      <filters>
        <filter val="Rabu, 05/08/2026 s/d Rabu, 05/08/2026"/>
        <filter val="Selasa, 07/07/2026 s/d Selasa, 07/07/2026"/>
        <filter val="Minggu, 19/07/2026 s/d Minggu, 19/07/2026"/>
        <filter val="Kamis, 20/08/2026 s/d Kamis, 20/08/2026"/>
        <filter val="Minggu, 12/07/2026  s/d Minggu, 12/07/2026"/>
        <filter val="Minggu, 21/06/2026 s/d Minggu, 21/06/2026"/>
        <filter val="Jumat, 03/07/2026 s/d Jumat, 03/07/2026"/>
        <filter val="Kamis, 25/06/2026 s/d Kamis, 25/06/2026"/>
        <filter val="Sabtu, 01/08/2026 s/d Sabtu, 01/08/2026"/>
        <filter val="Sabtu, 27/06/2026 s/d Sabtu, 27/06/2026"/>
        <filter val="Kamis, 11/06/2026 s/d Kamis, 11/06/2026"/>
        <filter val="Kamis, 02/07/2026 s/d Kamis, 02/07/2026"/>
        <filter val="Minggu, 05/07/2026  s/d Minggu, 05/07/2026"/>
        <filter val="Jumat, 31/07/2026 s/d Jumat, 31/07/2026"/>
        <filter val="Senin, 29/06/2026 s/d Senin, 29/06/2026"/>
        <filter val="Jumat, 29/05/2026 s/d Jumat, 29/05/2026"/>
        <filter val="Sabtu, 15/08/2026 s/d Sabtu, 15/08/2026"/>
        <filter val="Senin, 03/08/2026 s/d Senin, 03/08/2026"/>
        <filter val="Rabu, 03/06/2026 s/d Rabu, 03/06/2026"/>
        <filter val="Kamis, 18/06/2026 s/d Kamis, 18/06/2026"/>
        <filter val="Minggu, 26/07/2026 s/d Minggu, 26/07/2026"/>
        <filter val="Jumat, 19/06/2026 s/d Jumat, 19/06/2026"/>
        <filter val="Kamis, 30/07/2026 s/d Kamis, 30/07/2026"/>
        <filter val="Selasa, 21/07/2026 s/d Selasa, 21/07/2026"/>
        <filter val="Sabtu, 25/07/2026 s/d Sabtu, 25/07/2026"/>
        <filter val="Jumat, 21/08/2026 s/d Jumat, 21/08/2026"/>
        <filter val="Minggu, 28/06/2026 s/d Minggu, 28/06/2026"/>
        <filter val="Rabu, 22/07/2026 s/d Rabu, 22/07/2026"/>
        <filter val="Kamis, 09/07/2026 s/d Kamis, 09/07/2026"/>
        <filter val="Kamis, 23/07/2026 s/d Kamis, 23/07/2026"/>
        <filter val="Rabu, 29/07/2026 s/d Rabu, 29/07/2026"/>
        <filter val="Selasa, 14/07/2026 s/d Selasa, 14/07/2026"/>
        <filter val="Minggu, 05/07/2026 s/d Minggu, 05/07/2026"/>
        <filter val="Sabtu, 04/07/2026 s/d Sabtu, 04/07/2026"/>
        <filter val="Jumat, 26/06/2026 s/d Jumat, 26/06/2026"/>
        <filter val="Rabu, 17/06/2026 s/d Rabu, 17/06/2026"/>
        <filter val="Selasa, 04/08/2026 s/d Selasa, 04/08/2026"/>
        <filter val="Jumat, 17/07/2026 s/d Jumat, 17/07/2026"/>
        <filter val="Rabu, 15/07/2026 s/d Rabu, 15/07/2026"/>
        <filter val="Sabtu, 18/07/2026 s/d Sabtu, 18/07/2026"/>
        <filter val="Senin, 20/07/2026 s/d Senin, 20/07/2026"/>
        <filter val="Minggu, 31/05/2026 s/d Minggu, 31/05/2026"/>
        <filter val="Senin, 06/07/2026 s/d Senin, 06/07/2026"/>
        <filter val="Jumat, 24/07/2026 s/d Jumat, 24/07/2026"/>
        <filter val="Kamis, 04/06/2026 s/d Kamis, 04/06/2026"/>
        <filter val="Sabtu, 11/07/2026 s/d Sabtu, 11/07/2026"/>
        <filter val="Jumat, 05/06/2026 s/d Jumat, 05/06/2026"/>
        <filter val="Selasa, 30/06/2026 s/d Selasa, 30/06/2026"/>
        <filter val="Rabu, 01/07/2026 s/d Rabu, 01/07/2026"/>
        <filter val="Sabtu, 30/05/2026 s/d Sabtu, 30/05/2026"/>
        <filter val="Minggu, 02/08/2026 s/d Minggu, 02/08/2026"/>
        <filter val="Rabu, 19/08/2026 s/d Rabu, 19/08/2026"/>
        <filter val="Selasa, 16/06/2026 s/d Selasa, 16/06/2026"/>
        <filter val="Rabu, 08/07/2026 s/d Rabu, 08/07/2026"/>
      </filters>
    </filterColumn>
    <sortState ref="A4:M200">
      <sortCondition ref="F4:F200"/>
    </sortState>
  </autoFilter>
  <mergeCells count="8">
    <mergeCell ref="A2:A3"/>
    <mergeCell ref="B2:B3"/>
    <mergeCell ref="C2:H3"/>
    <mergeCell ref="I2:I3"/>
    <mergeCell ref="J2:J3"/>
    <mergeCell ref="K2:K3"/>
    <mergeCell ref="L2:L3"/>
    <mergeCell ref="M2:M3"/>
  </mergeCells>
  <hyperlinks>
    <hyperlink r:id="rId1" ref="L9"/>
    <hyperlink r:id="rId2" ref="L15"/>
    <hyperlink r:id="rId3" ref="L22"/>
    <hyperlink r:id="rId4" ref="L23"/>
    <hyperlink r:id="rId5" ref="L24"/>
    <hyperlink r:id="rId6" ref="L25"/>
    <hyperlink r:id="rId7" ref="L30"/>
    <hyperlink r:id="rId8" ref="L43"/>
    <hyperlink r:id="rId9" ref="L46"/>
    <hyperlink r:id="rId10" ref="L47"/>
    <hyperlink r:id="rId11" ref="L49"/>
    <hyperlink r:id="rId12" ref="L50"/>
    <hyperlink r:id="rId13" ref="L65"/>
    <hyperlink r:id="rId14" ref="L74"/>
    <hyperlink r:id="rId15" ref="L79"/>
    <hyperlink r:id="rId16" ref="L91"/>
    <hyperlink r:id="rId17" ref="L96"/>
    <hyperlink r:id="rId18" ref="L100"/>
    <hyperlink r:id="rId19" ref="L109"/>
    <hyperlink r:id="rId20" ref="L111"/>
    <hyperlink r:id="rId21" ref="L117"/>
    <hyperlink r:id="rId22" ref="L119"/>
    <hyperlink r:id="rId23" ref="L121"/>
    <hyperlink r:id="rId24" ref="L126"/>
    <hyperlink r:id="rId25" ref="L131"/>
    <hyperlink r:id="rId26" ref="L137"/>
    <hyperlink r:id="rId27" ref="L139"/>
    <hyperlink r:id="rId28" ref="L141"/>
    <hyperlink r:id="rId29" ref="L143"/>
    <hyperlink r:id="rId30" ref="L145"/>
    <hyperlink r:id="rId31" ref="L148"/>
    <hyperlink r:id="rId32" location="gid=0" ref="B171"/>
  </hyperlinks>
  <drawing r:id="rId33"/>
</worksheet>
</file>